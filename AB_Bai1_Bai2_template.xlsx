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omecreditgroup-my.sharepoint.com/personal/phat_nguyent10_homecredit_vn/Documents/Personal/Python_tools/Cybersoft/excel/"/>
    </mc:Choice>
  </mc:AlternateContent>
  <xr:revisionPtr revIDLastSave="2" documentId="11_4D0DCFF28BCC5F17B60EC83420B6B255BC55B809" xr6:coauthVersionLast="47" xr6:coauthVersionMax="47" xr10:uidLastSave="{0AF05CC5-F5DF-4BDF-AFBA-4FFF83FC175E}"/>
  <bookViews>
    <workbookView minimized="1" xWindow="3340" yWindow="3340" windowWidth="14400" windowHeight="8170" xr2:uid="{00000000-000D-0000-FFFF-FFFF00000000}"/>
  </bookViews>
  <sheets>
    <sheet name="Bai1" sheetId="1" r:id="rId1"/>
    <sheet name="Bai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E9" i="2"/>
  <c r="F4" i="2"/>
  <c r="E4" i="2"/>
  <c r="E14" i="2" s="1"/>
  <c r="E16" i="2" s="1"/>
  <c r="F3" i="2"/>
  <c r="E5" i="2" s="1"/>
  <c r="E3" i="2"/>
  <c r="F2" i="2"/>
  <c r="E2" i="2"/>
  <c r="B28" i="1"/>
  <c r="B26" i="1"/>
  <c r="B25" i="1"/>
  <c r="B21" i="1"/>
  <c r="B27" i="1" s="1"/>
  <c r="B29" i="1" s="1"/>
  <c r="B31" i="1" s="1"/>
  <c r="B32" i="1" s="1"/>
  <c r="B10" i="1"/>
  <c r="B11" i="1" s="1"/>
  <c r="C6" i="1"/>
  <c r="B6" i="1"/>
  <c r="B14" i="1" s="1"/>
  <c r="B9" i="1" l="1"/>
  <c r="B16" i="1"/>
  <c r="B15" i="1"/>
  <c r="B12" i="1"/>
  <c r="B13" i="1" s="1"/>
  <c r="B17" i="1" s="1"/>
  <c r="E6" i="2"/>
  <c r="E8" i="2" s="1"/>
  <c r="E10" i="2" s="1"/>
  <c r="E11" i="2" s="1"/>
  <c r="E7" i="2" l="1"/>
  <c r="E12" i="2"/>
</calcChain>
</file>

<file path=xl/sharedStrings.xml><?xml version="1.0" encoding="utf-8"?>
<sst xmlns="http://schemas.openxmlformats.org/spreadsheetml/2006/main" count="50" uniqueCount="45">
  <si>
    <t>BÀI 1 – Conversion rate: z-test 2 tỷ lệ (ô vàng = nhập)</t>
  </si>
  <si>
    <t>Control</t>
  </si>
  <si>
    <t>Variant</t>
  </si>
  <si>
    <t>n (visitor)</t>
  </si>
  <si>
    <t>x (số đơn)</t>
  </si>
  <si>
    <t>CR = x/n</t>
  </si>
  <si>
    <t>diff = CR_V − CR_C</t>
  </si>
  <si>
    <t>Lift tương đối</t>
  </si>
  <si>
    <t>p_pool</t>
  </si>
  <si>
    <t>SE (pooled)</t>
  </si>
  <si>
    <t>z</t>
  </si>
  <si>
    <t>p-value (2 phía)</t>
  </si>
  <si>
    <t>SE (unpooled, cho CI)</t>
  </si>
  <si>
    <t>CI 95% – cận dưới</t>
  </si>
  <si>
    <t>CI 95% – cận trên</t>
  </si>
  <si>
    <t>Kết luận</t>
  </si>
  <si>
    <t>α</t>
  </si>
  <si>
    <t>CỠ MẪU TỐI THIỂU MỖI NHÓM (ROUNDUP = ceil)</t>
  </si>
  <si>
    <t>Power</t>
  </si>
  <si>
    <t>p1 baseline</t>
  </si>
  <si>
    <t>MDE tuyệt đối</t>
  </si>
  <si>
    <t>p2 = p1 + MDE</t>
  </si>
  <si>
    <t>p̄ = (p1+p2)/2</t>
  </si>
  <si>
    <t>Z(α/2)</t>
  </si>
  <si>
    <t>Z(power)</t>
  </si>
  <si>
    <t>n MỖI NHÓM</t>
  </si>
  <si>
    <t>Lưu lượng/ngày (cả 2 nhóm)</t>
  </si>
  <si>
    <t>Số ngày tối thiểu</t>
  </si>
  <si>
    <t>Làm tròn lên bội 7 ngày</t>
  </si>
  <si>
    <t>Chỉ số</t>
  </si>
  <si>
    <t>← BÀI 2: AOV, Welch t-test</t>
  </si>
  <si>
    <t>n</t>
  </si>
  <si>
    <t>Trung bình</t>
  </si>
  <si>
    <t>Phương sai</t>
  </si>
  <si>
    <t>diff = TB_V − TB_C</t>
  </si>
  <si>
    <t>SE (Welch)</t>
  </si>
  <si>
    <t>t</t>
  </si>
  <si>
    <t>df (Welch)</t>
  </si>
  <si>
    <t>p-value = TTEST(...,2,3)</t>
  </si>
  <si>
    <t>t tới hạn (TINV cắt df xuống số nguyên)</t>
  </si>
  <si>
    <t>CI 95% – dưới</t>
  </si>
  <si>
    <t>CI 95% – trên</t>
  </si>
  <si>
    <t>σ² chung = (var_C + var_V)/2</t>
  </si>
  <si>
    <t>MDE ($)</t>
  </si>
  <si>
    <t>n mỗi nhóm cần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</si>
</sst>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%"/>
    <numFmt numFmtId="166" formatCode="0.000000"/>
    <numFmt numFmtId="167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0" fillId="3" borderId="0" xfId="0" applyFill="1"/>
    <xf numFmtId="10" fontId="0" fillId="4" borderId="0" xfId="0" applyNumberFormat="1" applyFill="1"/>
    <xf numFmtId="164" fontId="0" fillId="4" borderId="0" xfId="0" applyNumberFormat="1" applyFill="1"/>
    <xf numFmtId="165" fontId="0" fillId="4" borderId="0" xfId="0" applyNumberFormat="1" applyFill="1"/>
    <xf numFmtId="166" fontId="0" fillId="4" borderId="0" xfId="0" applyNumberFormat="1" applyFill="1"/>
    <xf numFmtId="167" fontId="0" fillId="4" borderId="0" xfId="0" applyNumberFormat="1" applyFill="1"/>
    <xf numFmtId="0" fontId="1" fillId="4" borderId="0" xfId="0" applyFont="1" applyFill="1"/>
    <xf numFmtId="164" fontId="0" fillId="3" borderId="0" xfId="0" applyNumberFormat="1" applyFill="1"/>
    <xf numFmtId="3" fontId="1" fillId="4" borderId="0" xfId="0" applyNumberFormat="1" applyFont="1" applyFill="1"/>
    <xf numFmtId="3" fontId="0" fillId="3" borderId="0" xfId="0" applyNumberFormat="1" applyFill="1"/>
    <xf numFmtId="3" fontId="0" fillId="4" borderId="0" xfId="0" applyNumberFormat="1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16" workbookViewId="0">
      <selection activeCell="B9" sqref="B9"/>
    </sheetView>
  </sheetViews>
  <sheetFormatPr defaultRowHeight="14.5" x14ac:dyDescent="0.35"/>
  <cols>
    <col min="1" max="1" width="32" customWidth="1"/>
    <col min="2" max="3" width="16" customWidth="1"/>
  </cols>
  <sheetData>
    <row r="1" spans="1:3" x14ac:dyDescent="0.35">
      <c r="A1" s="1" t="s">
        <v>0</v>
      </c>
    </row>
    <row r="3" spans="1:3" x14ac:dyDescent="0.35">
      <c r="A3" s="2"/>
      <c r="B3" s="2" t="s">
        <v>1</v>
      </c>
      <c r="C3" s="2" t="s">
        <v>2</v>
      </c>
    </row>
    <row r="4" spans="1:3" x14ac:dyDescent="0.35">
      <c r="A4" t="s">
        <v>3</v>
      </c>
      <c r="B4" s="3">
        <v>13000</v>
      </c>
      <c r="C4" s="3">
        <v>13000</v>
      </c>
    </row>
    <row r="5" spans="1:3" x14ac:dyDescent="0.35">
      <c r="A5" t="s">
        <v>4</v>
      </c>
      <c r="B5" s="3">
        <v>650</v>
      </c>
      <c r="C5" s="3">
        <v>754</v>
      </c>
    </row>
    <row r="6" spans="1:3" x14ac:dyDescent="0.35">
      <c r="A6" t="s">
        <v>5</v>
      </c>
      <c r="B6" s="4">
        <f>B5/B4</f>
        <v>0.05</v>
      </c>
      <c r="C6" s="4">
        <f>C5/C4</f>
        <v>5.8000000000000003E-2</v>
      </c>
    </row>
    <row r="8" spans="1:3" x14ac:dyDescent="0.35">
      <c r="A8" t="s">
        <v>6</v>
      </c>
      <c r="B8" s="5">
        <f>C6-B6</f>
        <v>8.0000000000000002E-3</v>
      </c>
    </row>
    <row r="9" spans="1:3" x14ac:dyDescent="0.35">
      <c r="A9" t="s">
        <v>7</v>
      </c>
      <c r="B9" s="6">
        <f>B8/B6</f>
        <v>0.16</v>
      </c>
    </row>
    <row r="10" spans="1:3" x14ac:dyDescent="0.35">
      <c r="A10" t="s">
        <v>8</v>
      </c>
      <c r="B10" s="5">
        <f>(B5+C5)/(B4+C4)</f>
        <v>5.3999999999999999E-2</v>
      </c>
    </row>
    <row r="11" spans="1:3" x14ac:dyDescent="0.35">
      <c r="A11" t="s">
        <v>9</v>
      </c>
      <c r="B11" s="7">
        <f>SQRT(B10*(1-B10)*(1/B4+1/C4))</f>
        <v>2.8034045236242527E-3</v>
      </c>
    </row>
    <row r="12" spans="1:3" x14ac:dyDescent="0.35">
      <c r="A12" t="s">
        <v>10</v>
      </c>
      <c r="B12" s="8">
        <f>B8/B11</f>
        <v>2.8536730723604484</v>
      </c>
    </row>
    <row r="13" spans="1:3" x14ac:dyDescent="0.35">
      <c r="A13" t="s">
        <v>11</v>
      </c>
      <c r="B13" s="5">
        <f>2*(1-NORMSDIST(ABS(B12)))</f>
        <v>4.3216980264424443E-3</v>
      </c>
    </row>
    <row r="14" spans="1:3" x14ac:dyDescent="0.35">
      <c r="A14" t="s">
        <v>12</v>
      </c>
      <c r="B14" s="7">
        <f>SQRT(B6*(1-B6)/B4+C6*(1-C6)/C4)</f>
        <v>2.8029654626155107E-3</v>
      </c>
    </row>
    <row r="15" spans="1:3" x14ac:dyDescent="0.35">
      <c r="A15" t="s">
        <v>13</v>
      </c>
      <c r="B15" s="5">
        <f>B8-NORMSINV(0.975)*B14</f>
        <v>2.5062886433639495E-3</v>
      </c>
    </row>
    <row r="16" spans="1:3" x14ac:dyDescent="0.35">
      <c r="A16" t="s">
        <v>14</v>
      </c>
      <c r="B16" s="5">
        <f>B8+NORMSINV(0.975)*B14</f>
        <v>1.3493711356636051E-2</v>
      </c>
    </row>
    <row r="17" spans="1:2" x14ac:dyDescent="0.35">
      <c r="A17" t="s">
        <v>15</v>
      </c>
      <c r="B17" s="9" t="str">
        <f>IF(B13&lt;B18,IF(B8&gt;0,"Variant THẮNG","Variant THUA"),"Chưa đủ bằng chứng")</f>
        <v>Variant THẮNG</v>
      </c>
    </row>
    <row r="18" spans="1:2" x14ac:dyDescent="0.35">
      <c r="A18" t="s">
        <v>16</v>
      </c>
      <c r="B18" s="3">
        <v>0.05</v>
      </c>
    </row>
    <row r="20" spans="1:2" x14ac:dyDescent="0.35">
      <c r="A20" s="1" t="s">
        <v>17</v>
      </c>
    </row>
    <row r="21" spans="1:2" x14ac:dyDescent="0.35">
      <c r="A21" t="s">
        <v>16</v>
      </c>
      <c r="B21" s="5">
        <f>B18</f>
        <v>0.05</v>
      </c>
    </row>
    <row r="22" spans="1:2" x14ac:dyDescent="0.35">
      <c r="A22" t="s">
        <v>18</v>
      </c>
      <c r="B22" s="10">
        <v>0.8</v>
      </c>
    </row>
    <row r="23" spans="1:2" x14ac:dyDescent="0.35">
      <c r="A23" t="s">
        <v>19</v>
      </c>
      <c r="B23" s="10">
        <v>0.05</v>
      </c>
    </row>
    <row r="24" spans="1:2" x14ac:dyDescent="0.35">
      <c r="A24" t="s">
        <v>20</v>
      </c>
      <c r="B24" s="10">
        <v>8.0000000000000002E-3</v>
      </c>
    </row>
    <row r="25" spans="1:2" x14ac:dyDescent="0.35">
      <c r="A25" t="s">
        <v>21</v>
      </c>
      <c r="B25" s="5">
        <f>B23+B24</f>
        <v>5.8000000000000003E-2</v>
      </c>
    </row>
    <row r="26" spans="1:2" x14ac:dyDescent="0.35">
      <c r="A26" t="s">
        <v>22</v>
      </c>
      <c r="B26" s="5">
        <f>(B23+B25)/2</f>
        <v>5.4000000000000006E-2</v>
      </c>
    </row>
    <row r="27" spans="1:2" x14ac:dyDescent="0.35">
      <c r="A27" t="s">
        <v>23</v>
      </c>
      <c r="B27" s="5">
        <f>NORMSINV(1-B21/2)</f>
        <v>1.9599639845400536</v>
      </c>
    </row>
    <row r="28" spans="1:2" x14ac:dyDescent="0.35">
      <c r="A28" t="s">
        <v>24</v>
      </c>
      <c r="B28" s="5">
        <f>NORMSINV(B22)</f>
        <v>0.84162123357291474</v>
      </c>
    </row>
    <row r="29" spans="1:2" x14ac:dyDescent="0.35">
      <c r="A29" t="s">
        <v>25</v>
      </c>
      <c r="B29" s="11">
        <f>ROUNDUP(((B27*SQRT(2*B26*(1-B26))+B28*SQRT(B23*(1-B23)+B25*(1-B25)))^2)/(B24^2),0)</f>
        <v>12529</v>
      </c>
    </row>
    <row r="30" spans="1:2" x14ac:dyDescent="0.35">
      <c r="A30" t="s">
        <v>26</v>
      </c>
      <c r="B30" s="12">
        <v>2000</v>
      </c>
    </row>
    <row r="31" spans="1:2" x14ac:dyDescent="0.35">
      <c r="A31" t="s">
        <v>27</v>
      </c>
      <c r="B31" s="13">
        <f>ROUNDUP(B29*2/B30,0)</f>
        <v>13</v>
      </c>
    </row>
    <row r="32" spans="1:2" x14ac:dyDescent="0.35">
      <c r="A32" t="s">
        <v>28</v>
      </c>
      <c r="B32" s="13">
        <f>ROUNDUP(B31/7,0)*7</f>
        <v>14</v>
      </c>
    </row>
  </sheetData>
  <pageMargins left="0.75" right="0.75" top="1" bottom="1" header="0.5" footer="0.5"/>
  <headerFooter>
    <oddFooter>&amp;C_x000D_&amp;1#&amp;"Aptos"&amp;8&amp;K000000 This item's classification is Internal. It was created by and is in property of the Home Credit. Do not distribute outside of the organization.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4.5" x14ac:dyDescent="0.35"/>
  <cols>
    <col min="1" max="2" width="10" customWidth="1"/>
    <col min="3" max="3" width="3" customWidth="1"/>
    <col min="4" max="4" width="40" customWidth="1"/>
    <col min="5" max="6" width="12" customWidth="1"/>
  </cols>
  <sheetData>
    <row r="1" spans="1:8" x14ac:dyDescent="0.35">
      <c r="A1" s="2" t="s">
        <v>1</v>
      </c>
      <c r="B1" s="2" t="s">
        <v>2</v>
      </c>
      <c r="C1" s="2"/>
      <c r="D1" s="2" t="s">
        <v>29</v>
      </c>
      <c r="E1" s="2" t="s">
        <v>1</v>
      </c>
      <c r="F1" s="2" t="s">
        <v>2</v>
      </c>
      <c r="H1" s="1" t="s">
        <v>30</v>
      </c>
    </row>
    <row r="2" spans="1:8" x14ac:dyDescent="0.35">
      <c r="A2" s="3">
        <v>20</v>
      </c>
      <c r="B2" s="3">
        <v>28</v>
      </c>
      <c r="D2" t="s">
        <v>31</v>
      </c>
      <c r="E2" s="14">
        <f>COUNT(A2:A9)</f>
        <v>8</v>
      </c>
      <c r="F2" s="14">
        <f>COUNT(B2:B9)</f>
        <v>8</v>
      </c>
    </row>
    <row r="3" spans="1:8" x14ac:dyDescent="0.35">
      <c r="A3" s="3">
        <v>25</v>
      </c>
      <c r="B3" s="3">
        <v>32</v>
      </c>
      <c r="D3" t="s">
        <v>32</v>
      </c>
      <c r="E3" s="14">
        <f>AVERAGE(A2:A9)</f>
        <v>26.25</v>
      </c>
      <c r="F3" s="14">
        <f>AVERAGE(B2:B9)</f>
        <v>31.5</v>
      </c>
    </row>
    <row r="4" spans="1:8" x14ac:dyDescent="0.35">
      <c r="A4" s="3">
        <v>30</v>
      </c>
      <c r="B4" s="3">
        <v>30</v>
      </c>
      <c r="D4" t="s">
        <v>33</v>
      </c>
      <c r="E4" s="14">
        <f>VAR(A2:A9)</f>
        <v>22.5</v>
      </c>
      <c r="F4" s="14">
        <f>VAR(B2:B9)</f>
        <v>18</v>
      </c>
    </row>
    <row r="5" spans="1:8" x14ac:dyDescent="0.35">
      <c r="A5" s="3">
        <v>22</v>
      </c>
      <c r="B5" s="3">
        <v>27</v>
      </c>
      <c r="D5" t="s">
        <v>34</v>
      </c>
      <c r="E5" s="5">
        <f>F3-E3</f>
        <v>5.25</v>
      </c>
    </row>
    <row r="6" spans="1:8" x14ac:dyDescent="0.35">
      <c r="A6" s="3">
        <v>28</v>
      </c>
      <c r="B6" s="3">
        <v>35</v>
      </c>
      <c r="D6" t="s">
        <v>35</v>
      </c>
      <c r="E6" s="5">
        <f>SQRT(E4/E2+F4/F2)</f>
        <v>2.25</v>
      </c>
    </row>
    <row r="7" spans="1:8" x14ac:dyDescent="0.35">
      <c r="A7" s="3">
        <v>35</v>
      </c>
      <c r="B7" s="3">
        <v>40</v>
      </c>
      <c r="D7" t="s">
        <v>36</v>
      </c>
      <c r="E7" s="5">
        <f>E5/E6</f>
        <v>2.3333333333333335</v>
      </c>
    </row>
    <row r="8" spans="1:8" x14ac:dyDescent="0.35">
      <c r="A8" s="3">
        <v>24</v>
      </c>
      <c r="B8" s="3">
        <v>29</v>
      </c>
      <c r="D8" t="s">
        <v>37</v>
      </c>
      <c r="E8" s="5">
        <f>(E6^2)^2/((E4/E2)^2/(E2-1)+(F4/F2)^2/(F2-1))</f>
        <v>13.829268292682926</v>
      </c>
    </row>
    <row r="9" spans="1:8" x14ac:dyDescent="0.35">
      <c r="A9" s="3">
        <v>26</v>
      </c>
      <c r="B9" s="3">
        <v>31</v>
      </c>
      <c r="D9" t="s">
        <v>38</v>
      </c>
      <c r="E9" s="5">
        <f>TTEST(A2:A9,B2:B9,2,3)</f>
        <v>3.5263123235885201E-2</v>
      </c>
    </row>
    <row r="10" spans="1:8" x14ac:dyDescent="0.35">
      <c r="D10" t="s">
        <v>39</v>
      </c>
      <c r="E10" s="5">
        <f>TINV(0.05,E8)</f>
        <v>2.1603686564627926</v>
      </c>
    </row>
    <row r="11" spans="1:8" x14ac:dyDescent="0.35">
      <c r="D11" t="s">
        <v>40</v>
      </c>
      <c r="E11" s="5">
        <f>E5-E10*E6</f>
        <v>0.38917052295871635</v>
      </c>
    </row>
    <row r="12" spans="1:8" x14ac:dyDescent="0.35">
      <c r="D12" t="s">
        <v>41</v>
      </c>
      <c r="E12" s="5">
        <f>E5+E10*E6</f>
        <v>10.110829477041284</v>
      </c>
    </row>
    <row r="14" spans="1:8" x14ac:dyDescent="0.35">
      <c r="D14" t="s">
        <v>42</v>
      </c>
      <c r="E14" s="5">
        <f>(E4+F4)/2</f>
        <v>20.25</v>
      </c>
    </row>
    <row r="15" spans="1:8" x14ac:dyDescent="0.35">
      <c r="D15" t="s">
        <v>43</v>
      </c>
      <c r="E15" s="10">
        <v>5</v>
      </c>
    </row>
    <row r="16" spans="1:8" x14ac:dyDescent="0.35">
      <c r="D16" t="s">
        <v>44</v>
      </c>
      <c r="E16" s="5">
        <f>ROUNDUP(2*(NORMSINV(0.975)+NORMSINV(0.8))^2*E14/E15^2,0)</f>
        <v>13</v>
      </c>
    </row>
  </sheetData>
  <pageMargins left="0.75" right="0.75" top="1" bottom="1" header="0.5" footer="0.5"/>
  <headerFooter>
    <oddFooter>&amp;C_x000D_&amp;1#&amp;"Aptos"&amp;8&amp;K000000 This item's classification is Internal. It was created by and is in property of the Home Credit. Do not distribute outside of the organization.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Bai1</vt:lpstr>
      <vt:lpstr>Bai2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Phat Nguyen Thinh (VN)</cp:lastModifiedBy>
  <dcterms:created xsi:type="dcterms:W3CDTF">2026-10-01T08:20:00Z</dcterms:created>
  <dcterms:modified xsi:type="dcterms:W3CDTF">2026-10-01T08:21:28Z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ed54b0-3371-4c9f-b9e0-3039d14ae50d_Enabled">
    <vt:lpwstr>true</vt:lpwstr>
  </property>
  <property fmtid="{D5CDD505-2E9C-101B-9397-08002B2CF9AE}" pid="3" name="MSIP_Label_13ed54b0-3371-4c9f-b9e0-3039d14ae50d_SetDate">
    <vt:lpwstr>2026-10-01T08:21:28Z</vt:lpwstr>
  </property>
  <property fmtid="{D5CDD505-2E9C-101B-9397-08002B2CF9AE}" pid="4" name="MSIP_Label_13ed54b0-3371-4c9f-b9e0-3039d14ae50d_Method">
    <vt:lpwstr>Standard</vt:lpwstr>
  </property>
  <property fmtid="{D5CDD505-2E9C-101B-9397-08002B2CF9AE}" pid="5" name="MSIP_Label_13ed54b0-3371-4c9f-b9e0-3039d14ae50d_Name">
    <vt:lpwstr>Internal</vt:lpwstr>
  </property>
  <property fmtid="{D5CDD505-2E9C-101B-9397-08002B2CF9AE}" pid="6" name="MSIP_Label_13ed54b0-3371-4c9f-b9e0-3039d14ae50d_SiteId">
    <vt:lpwstr>5675d321-19d1-4c95-9684-2c28ac8f80a4</vt:lpwstr>
  </property>
  <property fmtid="{D5CDD505-2E9C-101B-9397-08002B2CF9AE}" pid="7" name="MSIP_Label_13ed54b0-3371-4c9f-b9e0-3039d14ae50d_ActionId">
    <vt:lpwstr>dea0b79d-984b-4530-998b-93a715ffd623</vt:lpwstr>
  </property>
  <property fmtid="{D5CDD505-2E9C-101B-9397-08002B2CF9AE}" pid="8" name="MSIP_Label_13ed54b0-3371-4c9f-b9e0-3039d14ae50d_ContentBits">
    <vt:lpwstr>2</vt:lpwstr>
  </property>
  <property fmtid="{D5CDD505-2E9C-101B-9397-08002B2CF9AE}" pid="9" name="MSIP_Label_13ed54b0-3371-4c9f-b9e0-3039d14ae50d_Tag">
    <vt:lpwstr>10, 3, 0, 1</vt:lpwstr>
  </property>
</Properties>
</file>