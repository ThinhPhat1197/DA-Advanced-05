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omecreditgroup-my.sharepoint.com/personal/phat_nguyent10_homecredit_vn/Documents/Personal/Python_tools/Cybersoft/excel/"/>
    </mc:Choice>
  </mc:AlternateContent>
  <xr:revisionPtr revIDLastSave="2" documentId="11_54F16EFF8B1C5C2ED23DFDD52EF0BAD397E95529" xr6:coauthVersionLast="47" xr6:coauthVersionMax="47" xr10:uidLastSave="{9B4CB69D-3785-46F5-B195-7AAE6A073F6A}"/>
  <bookViews>
    <workbookView xWindow="-110" yWindow="-110" windowWidth="19420" windowHeight="11500" activeTab="1" xr2:uid="{00000000-000D-0000-FFFF-FFFF00000000}"/>
  </bookViews>
  <sheets>
    <sheet name="Bai1" sheetId="1" r:id="rId1"/>
    <sheet name="Bai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8" i="2" s="1"/>
  <c r="E6" i="2"/>
  <c r="B10" i="1"/>
  <c r="E4" i="2"/>
  <c r="E11" i="2" s="1"/>
  <c r="E12" i="2" s="1"/>
  <c r="B14" i="1"/>
  <c r="B11" i="1"/>
  <c r="B12" i="1" s="1"/>
  <c r="F4" i="2"/>
  <c r="F3" i="2"/>
  <c r="E3" i="2"/>
  <c r="F2" i="2"/>
  <c r="E2" i="2"/>
  <c r="B20" i="1"/>
  <c r="B22" i="1" s="1"/>
  <c r="C6" i="1"/>
  <c r="B8" i="1" s="1"/>
  <c r="B6" i="1"/>
  <c r="B9" i="1" l="1"/>
  <c r="B15" i="1"/>
  <c r="B13" i="1"/>
</calcChain>
</file>

<file path=xl/sharedStrings.xml><?xml version="1.0" encoding="utf-8"?>
<sst xmlns="http://schemas.openxmlformats.org/spreadsheetml/2006/main" count="36" uniqueCount="32">
  <si>
    <t>BÀI 1 – Trang mới có làm nhiều người mua hơn không? (vàng = nhập, xanh = công thức)</t>
  </si>
  <si>
    <t>Nhóm A (cũ)</t>
  </si>
  <si>
    <t>Nhóm B (mới)</t>
  </si>
  <si>
    <t>Số người vào xem</t>
  </si>
  <si>
    <t>Số người mua</t>
  </si>
  <si>
    <t>Tỷ lệ mua</t>
  </si>
  <si>
    <t>Chênh lệch (B − A)</t>
  </si>
  <si>
    <t>Tăng bao nhiêu % so với A</t>
  </si>
  <si>
    <t>Sai số (SE)</t>
  </si>
  <si>
    <t>z = chênh lệch / sai số</t>
  </si>
  <si>
    <t>p-value</t>
  </si>
  <si>
    <t>Khoảng tin cậy 95% – từ</t>
  </si>
  <si>
    <t>Khoảng tin cậy 95% – đến</t>
  </si>
  <si>
    <t>Kết luận</t>
  </si>
  <si>
    <t>CẦN BAO NHIÊU NGƯỜI MỖI NHÓM? (quy tắc 16, ước lượng nhanh)</t>
  </si>
  <si>
    <t>Tỷ lệ mua hiện tại</t>
  </si>
  <si>
    <t>Muốn phát hiện tăng tối thiểu (MDE)</t>
  </si>
  <si>
    <t>Số người mỗi nhóm (làm tròn lên)</t>
  </si>
  <si>
    <t>Khách mỗi ngày (cả 2 nhóm)</t>
  </si>
  <si>
    <t>Số ngày cần chạy</t>
  </si>
  <si>
    <t>Ghi chú: Python (sample_size_rate) tính chính xác hơn, lệch khoảng 2%.</t>
  </si>
  <si>
    <t>Nhóm A</t>
  </si>
  <si>
    <t>Nhóm B</t>
  </si>
  <si>
    <t>Chỉ số</t>
  </si>
  <si>
    <t>Số đơn</t>
  </si>
  <si>
    <t>Trung bình</t>
  </si>
  <si>
    <t>Độ lệch chuẩn</t>
  </si>
  <si>
    <t>p-value (TTEST loại 3)</t>
  </si>
  <si>
    <t>Muốn phát hiện chênh lệch tối thiểu ($)</t>
  </si>
  <si>
    <t>Độ lệch chuẩn dùng để tính</t>
  </si>
  <si>
    <t>Số đơn mỗi nhóm cần có (quy tắc 16)</t>
  </si>
  <si>
    <t>Nhận xét: chỉ có 8 đơn mỗi nhóm → kết luận chỉ mang tính gợi 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</si>
</sst>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%"/>
    <numFmt numFmtId="166" formatCode="0.000000"/>
    <numFmt numFmtId="167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3" fontId="0" fillId="3" borderId="0" xfId="0" applyNumberFormat="1" applyFill="1"/>
    <xf numFmtId="10" fontId="0" fillId="4" borderId="0" xfId="0" applyNumberFormat="1" applyFill="1"/>
    <xf numFmtId="164" fontId="0" fillId="4" borderId="0" xfId="0" applyNumberFormat="1" applyFill="1"/>
    <xf numFmtId="165" fontId="0" fillId="4" borderId="0" xfId="0" applyNumberFormat="1" applyFill="1"/>
    <xf numFmtId="166" fontId="0" fillId="4" borderId="0" xfId="0" applyNumberFormat="1" applyFill="1"/>
    <xf numFmtId="167" fontId="0" fillId="4" borderId="0" xfId="0" applyNumberFormat="1" applyFill="1"/>
    <xf numFmtId="0" fontId="1" fillId="4" borderId="0" xfId="0" applyFont="1" applyFill="1"/>
    <xf numFmtId="165" fontId="0" fillId="3" borderId="0" xfId="0" applyNumberFormat="1" applyFill="1"/>
    <xf numFmtId="3" fontId="1" fillId="4" borderId="0" xfId="0" applyNumberFormat="1" applyFont="1" applyFill="1"/>
    <xf numFmtId="3" fontId="0" fillId="4" borderId="0" xfId="0" applyNumberFormat="1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>
      <selection activeCell="B11" sqref="B11"/>
    </sheetView>
  </sheetViews>
  <sheetFormatPr defaultRowHeight="14.5" x14ac:dyDescent="0.35"/>
  <cols>
    <col min="1" max="1" width="44" customWidth="1"/>
    <col min="2" max="3" width="16" customWidth="1"/>
  </cols>
  <sheetData>
    <row r="1" spans="1:3" x14ac:dyDescent="0.35">
      <c r="A1" s="1" t="s">
        <v>0</v>
      </c>
    </row>
    <row r="3" spans="1:3" x14ac:dyDescent="0.35">
      <c r="A3" s="2"/>
      <c r="B3" s="2" t="s">
        <v>1</v>
      </c>
      <c r="C3" s="2" t="s">
        <v>2</v>
      </c>
    </row>
    <row r="4" spans="1:3" x14ac:dyDescent="0.35">
      <c r="A4" t="s">
        <v>3</v>
      </c>
      <c r="B4" s="3">
        <v>13000</v>
      </c>
      <c r="C4" s="3">
        <v>13000</v>
      </c>
    </row>
    <row r="5" spans="1:3" x14ac:dyDescent="0.35">
      <c r="A5" t="s">
        <v>4</v>
      </c>
      <c r="B5" s="3">
        <v>650</v>
      </c>
      <c r="C5" s="3">
        <v>754</v>
      </c>
    </row>
    <row r="6" spans="1:3" x14ac:dyDescent="0.35">
      <c r="A6" t="s">
        <v>5</v>
      </c>
      <c r="B6" s="4">
        <f>B5/B4</f>
        <v>0.05</v>
      </c>
      <c r="C6" s="4">
        <f>C5/C4</f>
        <v>5.8000000000000003E-2</v>
      </c>
    </row>
    <row r="8" spans="1:3" x14ac:dyDescent="0.35">
      <c r="A8" t="s">
        <v>6</v>
      </c>
      <c r="B8" s="5">
        <f>C6-B6</f>
        <v>8.0000000000000002E-3</v>
      </c>
    </row>
    <row r="9" spans="1:3" x14ac:dyDescent="0.35">
      <c r="A9" t="s">
        <v>7</v>
      </c>
      <c r="B9" s="6">
        <f>B8/B6</f>
        <v>0.16</v>
      </c>
    </row>
    <row r="10" spans="1:3" x14ac:dyDescent="0.35">
      <c r="A10" t="s">
        <v>8</v>
      </c>
      <c r="B10" s="7">
        <f>SQRT(B6*(1-B6)/B4+C6*(1-C6)/C4)</f>
        <v>2.8029654626155107E-3</v>
      </c>
    </row>
    <row r="11" spans="1:3" x14ac:dyDescent="0.35">
      <c r="A11" t="s">
        <v>9</v>
      </c>
      <c r="B11" s="8">
        <f>B8/B10</f>
        <v>2.854120076290565</v>
      </c>
    </row>
    <row r="12" spans="1:3" x14ac:dyDescent="0.35">
      <c r="A12" t="s">
        <v>10</v>
      </c>
      <c r="B12" s="5">
        <f>2*(1-NORMSDIST(ABS(B11)))</f>
        <v>4.3156216212787424E-3</v>
      </c>
    </row>
    <row r="13" spans="1:3" x14ac:dyDescent="0.35">
      <c r="A13" t="s">
        <v>11</v>
      </c>
      <c r="B13" s="5">
        <f>B8-1.96*B10</f>
        <v>2.5061876932735991E-3</v>
      </c>
    </row>
    <row r="14" spans="1:3" x14ac:dyDescent="0.35">
      <c r="A14" t="s">
        <v>12</v>
      </c>
      <c r="B14" s="5">
        <f>B8+1.96*B10</f>
        <v>1.3493812306726402E-2</v>
      </c>
    </row>
    <row r="15" spans="1:3" x14ac:dyDescent="0.35">
      <c r="A15" t="s">
        <v>13</v>
      </c>
      <c r="B15" s="9" t="str">
        <f>IF(B12&lt;0.05,IF(B8&gt;0,"B tốt hơn thật","B tệ hơn thật"),"Chưa đủ bằng chứng")</f>
        <v>B tốt hơn thật</v>
      </c>
    </row>
    <row r="17" spans="1:2" x14ac:dyDescent="0.35">
      <c r="A17" s="1" t="s">
        <v>14</v>
      </c>
    </row>
    <row r="18" spans="1:2" x14ac:dyDescent="0.35">
      <c r="A18" t="s">
        <v>15</v>
      </c>
      <c r="B18" s="10">
        <v>0.05</v>
      </c>
    </row>
    <row r="19" spans="1:2" x14ac:dyDescent="0.35">
      <c r="A19" t="s">
        <v>16</v>
      </c>
      <c r="B19" s="10">
        <v>8.0000000000000002E-3</v>
      </c>
    </row>
    <row r="20" spans="1:2" x14ac:dyDescent="0.35">
      <c r="A20" t="s">
        <v>17</v>
      </c>
      <c r="B20" s="11">
        <f>ROUNDUP(16*(B18+B19/2)*(1-(B18+B19/2))/B19^2,0)</f>
        <v>12771</v>
      </c>
    </row>
    <row r="21" spans="1:2" x14ac:dyDescent="0.35">
      <c r="A21" t="s">
        <v>18</v>
      </c>
      <c r="B21" s="3">
        <v>2000</v>
      </c>
    </row>
    <row r="22" spans="1:2" x14ac:dyDescent="0.35">
      <c r="A22" t="s">
        <v>19</v>
      </c>
      <c r="B22" s="12">
        <f>ROUNDUP(B20*2/B21,0)</f>
        <v>13</v>
      </c>
    </row>
    <row r="24" spans="1:2" x14ac:dyDescent="0.35">
      <c r="A24" t="s">
        <v>20</v>
      </c>
    </row>
  </sheetData>
  <pageMargins left="0.75" right="0.75" top="1" bottom="1" header="0.5" footer="0.5"/>
  <headerFooter>
    <oddFooter>&amp;C_x000D_&amp;1#&amp;"Aptos"&amp;8&amp;K000000 This item's classification is Internal. It was created by and is in property of the Home Credit. Do not distribute outside of the organization.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tabSelected="1" workbookViewId="0">
      <selection activeCell="D17" sqref="D17"/>
    </sheetView>
  </sheetViews>
  <sheetFormatPr defaultRowHeight="14.5" x14ac:dyDescent="0.35"/>
  <cols>
    <col min="1" max="2" width="10" customWidth="1"/>
    <col min="3" max="3" width="3" customWidth="1"/>
    <col min="4" max="4" width="40" customWidth="1"/>
    <col min="5" max="6" width="12" customWidth="1"/>
  </cols>
  <sheetData>
    <row r="1" spans="1:6" x14ac:dyDescent="0.35">
      <c r="A1" s="2" t="s">
        <v>21</v>
      </c>
      <c r="B1" s="2" t="s">
        <v>22</v>
      </c>
      <c r="C1" s="2"/>
      <c r="D1" s="2" t="s">
        <v>23</v>
      </c>
      <c r="E1" s="2" t="s">
        <v>21</v>
      </c>
      <c r="F1" s="2" t="s">
        <v>22</v>
      </c>
    </row>
    <row r="2" spans="1:6" x14ac:dyDescent="0.35">
      <c r="A2" s="13">
        <v>20</v>
      </c>
      <c r="B2" s="13">
        <v>28</v>
      </c>
      <c r="D2" t="s">
        <v>24</v>
      </c>
      <c r="E2" s="14">
        <f>COUNT(A2:A9)</f>
        <v>8</v>
      </c>
      <c r="F2" s="14">
        <f>COUNT(B2:B9)</f>
        <v>8</v>
      </c>
    </row>
    <row r="3" spans="1:6" x14ac:dyDescent="0.35">
      <c r="A3" s="13">
        <v>25</v>
      </c>
      <c r="B3" s="13">
        <v>32</v>
      </c>
      <c r="D3" t="s">
        <v>25</v>
      </c>
      <c r="E3" s="15">
        <f>AVERAGE(A2:A9)</f>
        <v>26.25</v>
      </c>
      <c r="F3" s="15">
        <f>AVERAGE(B2:B9)</f>
        <v>31.5</v>
      </c>
    </row>
    <row r="4" spans="1:6" x14ac:dyDescent="0.35">
      <c r="A4" s="13">
        <v>30</v>
      </c>
      <c r="B4" s="13">
        <v>30</v>
      </c>
      <c r="D4" t="s">
        <v>26</v>
      </c>
      <c r="E4" s="15">
        <f>STDEV(A2:A9)</f>
        <v>4.7434164902525691</v>
      </c>
      <c r="F4" s="15">
        <f>STDEV(B2:B9)</f>
        <v>4.2426406871192848</v>
      </c>
    </row>
    <row r="5" spans="1:6" x14ac:dyDescent="0.35">
      <c r="A5" s="13">
        <v>22</v>
      </c>
      <c r="B5" s="13">
        <v>27</v>
      </c>
    </row>
    <row r="6" spans="1:6" x14ac:dyDescent="0.35">
      <c r="A6" s="13">
        <v>28</v>
      </c>
      <c r="B6" s="13">
        <v>35</v>
      </c>
      <c r="D6" t="s">
        <v>6</v>
      </c>
      <c r="E6" s="15">
        <f>F3-E3</f>
        <v>5.25</v>
      </c>
    </row>
    <row r="7" spans="1:6" x14ac:dyDescent="0.35">
      <c r="A7" s="13">
        <v>35</v>
      </c>
      <c r="B7" s="13">
        <v>40</v>
      </c>
      <c r="D7" t="s">
        <v>27</v>
      </c>
      <c r="E7" s="5">
        <f>TTEST(A2:A9,B2:B9,2,3)</f>
        <v>3.5263123235885201E-2</v>
      </c>
    </row>
    <row r="8" spans="1:6" x14ac:dyDescent="0.35">
      <c r="A8" s="13">
        <v>24</v>
      </c>
      <c r="B8" s="13">
        <v>29</v>
      </c>
      <c r="D8" t="s">
        <v>13</v>
      </c>
      <c r="E8" s="9" t="str">
        <f>IF(E7&lt;0.05,IF(E6&gt;0,"B cao hơn","B thấp hơn"),"Chưa đủ bằng chứng")</f>
        <v>B cao hơn</v>
      </c>
    </row>
    <row r="9" spans="1:6" x14ac:dyDescent="0.35">
      <c r="A9" s="13">
        <v>26</v>
      </c>
      <c r="B9" s="13">
        <v>31</v>
      </c>
    </row>
    <row r="10" spans="1:6" x14ac:dyDescent="0.35">
      <c r="D10" t="s">
        <v>28</v>
      </c>
      <c r="E10" s="13">
        <v>5</v>
      </c>
    </row>
    <row r="11" spans="1:6" x14ac:dyDescent="0.35">
      <c r="D11" t="s">
        <v>29</v>
      </c>
      <c r="E11" s="15">
        <f>(E4+F4)/2</f>
        <v>4.4930285886859274</v>
      </c>
    </row>
    <row r="12" spans="1:6" x14ac:dyDescent="0.35">
      <c r="D12" t="s">
        <v>30</v>
      </c>
      <c r="E12" s="11">
        <f>ROUNDUP(16*E11^2/E10^2,0)</f>
        <v>13</v>
      </c>
    </row>
    <row r="14" spans="1:6" x14ac:dyDescent="0.35">
      <c r="D14" t="s">
        <v>31</v>
      </c>
    </row>
  </sheetData>
  <pageMargins left="0.75" right="0.75" top="1" bottom="1" header="0.5" footer="0.5"/>
  <headerFooter>
    <oddFooter>&amp;C_x000D_&amp;1#&amp;"Aptos"&amp;8&amp;K000000 This item's classification is Internal. It was created by and is in property of the Home Credit. Do not distribute outside of the organization.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Bai1</vt:lpstr>
      <vt:lpstr>Bai2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Phat Nguyen Thinh (VN)</cp:lastModifiedBy>
  <dcterms:created xsi:type="dcterms:W3CDTF">2026-10-01T08:40:57Z</dcterms:created>
  <dcterms:modified xsi:type="dcterms:W3CDTF">2026-10-01T08:57:47Z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ed54b0-3371-4c9f-b9e0-3039d14ae50d_Enabled">
    <vt:lpwstr>true</vt:lpwstr>
  </property>
  <property fmtid="{D5CDD505-2E9C-101B-9397-08002B2CF9AE}" pid="3" name="MSIP_Label_13ed54b0-3371-4c9f-b9e0-3039d14ae50d_SetDate">
    <vt:lpwstr>2026-10-01T08:55:38Z</vt:lpwstr>
  </property>
  <property fmtid="{D5CDD505-2E9C-101B-9397-08002B2CF9AE}" pid="4" name="MSIP_Label_13ed54b0-3371-4c9f-b9e0-3039d14ae50d_Method">
    <vt:lpwstr>Standard</vt:lpwstr>
  </property>
  <property fmtid="{D5CDD505-2E9C-101B-9397-08002B2CF9AE}" pid="5" name="MSIP_Label_13ed54b0-3371-4c9f-b9e0-3039d14ae50d_Name">
    <vt:lpwstr>Internal</vt:lpwstr>
  </property>
  <property fmtid="{D5CDD505-2E9C-101B-9397-08002B2CF9AE}" pid="6" name="MSIP_Label_13ed54b0-3371-4c9f-b9e0-3039d14ae50d_SiteId">
    <vt:lpwstr>5675d321-19d1-4c95-9684-2c28ac8f80a4</vt:lpwstr>
  </property>
  <property fmtid="{D5CDD505-2E9C-101B-9397-08002B2CF9AE}" pid="7" name="MSIP_Label_13ed54b0-3371-4c9f-b9e0-3039d14ae50d_ActionId">
    <vt:lpwstr>3f5ae65f-8584-42ca-9b5c-d101693456c4</vt:lpwstr>
  </property>
  <property fmtid="{D5CDD505-2E9C-101B-9397-08002B2CF9AE}" pid="8" name="MSIP_Label_13ed54b0-3371-4c9f-b9e0-3039d14ae50d_ContentBits">
    <vt:lpwstr>2</vt:lpwstr>
  </property>
  <property fmtid="{D5CDD505-2E9C-101B-9397-08002B2CF9AE}" pid="9" name="MSIP_Label_13ed54b0-3371-4c9f-b9e0-3039d14ae50d_Tag">
    <vt:lpwstr>10, 3, 0, 1</vt:lpwstr>
  </property>
</Properties>
</file>