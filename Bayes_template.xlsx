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VD1_YTe" sheetId="2" state="visible" r:id="rId2"/>
    <sheet name="VD2_Spam" sheetId="3" state="visible" r:id="rId3"/>
    <sheet name="VD3_SanXuat" sheetId="4" state="visible" r:id="rId4"/>
    <sheet name="VD4_GianLan" sheetId="5" state="visible" r:id="rId5"/>
    <sheet name="VD5_Lead" sheetId="6" state="visible" r:id="rId6"/>
    <sheet name="BT_Giao_hang" sheetId="7" state="visible" r:id="rId7"/>
    <sheet name="CapNhatTuanTu" sheetId="8" state="visible" r:id="rId8"/>
    <sheet name="TanSuatTuNhi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1" fillId="4" borderId="0" pivotButton="0" quotePrefix="0" xfId="0"/>
    <xf numFmtId="0" fontId="1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TEMPLATE: điền H, prior, likelihood (tối đa 5 giả thuyết)</t>
        </is>
      </c>
    </row>
    <row r="2">
      <c r="A2" t="inlineStr">
        <is>
          <t>Ô vàng = nhập; ô xanh = công thức.  H = giả thuyết (nguyên nhân ẩn), E = bằng chứng.</t>
        </is>
      </c>
    </row>
    <row r="4">
      <c r="A4" s="2" t="inlineStr">
        <is>
          <t>H (giả thuyết)</t>
        </is>
      </c>
      <c r="B4" s="2" t="inlineStr">
        <is>
          <t>Prior P(H)</t>
        </is>
      </c>
      <c r="C4" s="2" t="inlineStr">
        <is>
          <t>Likelihood P(E|H)</t>
        </is>
      </c>
      <c r="D4" s="2" t="inlineStr">
        <is>
          <t>Prior × Likelihood</t>
        </is>
      </c>
      <c r="E4" s="2" t="inlineStr">
        <is>
          <t>Posterior P(H|E)</t>
        </is>
      </c>
    </row>
    <row r="5">
      <c r="A5" s="3" t="n"/>
      <c r="B5" s="3" t="n"/>
      <c r="C5" s="3" t="n"/>
      <c r="D5" s="4">
        <f>IF(OR(B5="",C5=""),"",B5*C5)</f>
        <v/>
      </c>
      <c r="E5" s="5">
        <f>IF(D5="","",D5/$D$10)</f>
        <v/>
      </c>
    </row>
    <row r="6">
      <c r="A6" s="3" t="n"/>
      <c r="B6" s="3" t="n"/>
      <c r="C6" s="3" t="n"/>
      <c r="D6" s="4">
        <f>IF(OR(B6="",C6=""),"",B6*C6)</f>
        <v/>
      </c>
      <c r="E6" s="5">
        <f>IF(D6="","",D6/$D$10)</f>
        <v/>
      </c>
    </row>
    <row r="7">
      <c r="A7" s="3" t="n"/>
      <c r="B7" s="3" t="n"/>
      <c r="C7" s="3" t="n"/>
      <c r="D7" s="4">
        <f>IF(OR(B7="",C7=""),"",B7*C7)</f>
        <v/>
      </c>
      <c r="E7" s="5">
        <f>IF(D7="","",D7/$D$10)</f>
        <v/>
      </c>
    </row>
    <row r="8">
      <c r="A8" s="3" t="n"/>
      <c r="B8" s="3" t="n"/>
      <c r="C8" s="3" t="n"/>
      <c r="D8" s="4">
        <f>IF(OR(B8="",C8=""),"",B8*C8)</f>
        <v/>
      </c>
      <c r="E8" s="5">
        <f>IF(D8="","",D8/$D$10)</f>
        <v/>
      </c>
    </row>
    <row r="9">
      <c r="A9" s="3" t="n"/>
      <c r="B9" s="3" t="n"/>
      <c r="C9" s="3" t="n"/>
      <c r="D9" s="4">
        <f>IF(OR(B9="",C9=""),"",B9*C9)</f>
        <v/>
      </c>
      <c r="E9" s="5">
        <f>IF(D9="","",D9/$D$10)</f>
        <v/>
      </c>
    </row>
    <row r="10">
      <c r="A10" s="1" t="inlineStr">
        <is>
          <t>Tổng</t>
        </is>
      </c>
      <c r="B10" s="6">
        <f>SUM(B5:B9)</f>
        <v/>
      </c>
      <c r="D10" s="7">
        <f>SUM(D5:D9)</f>
        <v/>
      </c>
      <c r="E10" s="5">
        <f>SUM(E5:E9)</f>
        <v/>
      </c>
    </row>
    <row r="12">
      <c r="A12" t="inlineStr">
        <is>
          <t>P(E) = evidence = tổng cột D</t>
        </is>
      </c>
      <c r="B12" s="4">
        <f>D10</f>
        <v/>
      </c>
    </row>
    <row r="13">
      <c r="A13" t="inlineStr">
        <is>
          <t>Kiểm tra Σ prior = 1?</t>
        </is>
      </c>
      <c r="B13" s="6">
        <f>IF(ABS(B10-1)&lt;0.000001,"OK","SAI: tổng prior khác 1")</f>
        <v/>
      </c>
    </row>
    <row r="14">
      <c r="A14" t="inlineStr">
        <is>
          <t>Giả thuyết khả nghi nhất</t>
        </is>
      </c>
      <c r="B14" s="8">
        <f>INDEX(A5:A9,MATCH(MAX(E5:E9),E5:E9,0))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VD1: 1% mắc bệnh; test đúng 90%; dương tính giả 5%. Dương tính → P(bệnh)?</t>
        </is>
      </c>
    </row>
    <row r="2">
      <c r="A2" t="inlineStr">
        <is>
          <t>Ô vàng = nhập; ô xanh = công thức.  H = giả thuyết (nguyên nhân ẩn), E = bằng chứng.</t>
        </is>
      </c>
    </row>
    <row r="4">
      <c r="A4" s="2" t="inlineStr">
        <is>
          <t>H (giả thuyết)</t>
        </is>
      </c>
      <c r="B4" s="2" t="inlineStr">
        <is>
          <t>Prior P(H)</t>
        </is>
      </c>
      <c r="C4" s="2" t="inlineStr">
        <is>
          <t>Likelihood P(E|H)</t>
        </is>
      </c>
      <c r="D4" s="2" t="inlineStr">
        <is>
          <t>Prior × Likelihood</t>
        </is>
      </c>
      <c r="E4" s="2" t="inlineStr">
        <is>
          <t>Posterior P(H|E)</t>
        </is>
      </c>
    </row>
    <row r="5">
      <c r="A5" s="3" t="inlineStr">
        <is>
          <t>Bệnh</t>
        </is>
      </c>
      <c r="B5" s="3" t="n">
        <v>0.01</v>
      </c>
      <c r="C5" s="3" t="n">
        <v>0.9</v>
      </c>
      <c r="D5" s="4">
        <f>IF(OR(B5="",C5=""),"",B5*C5)</f>
        <v/>
      </c>
      <c r="E5" s="5">
        <f>IF(D5="","",D5/$D$7)</f>
        <v/>
      </c>
    </row>
    <row r="6">
      <c r="A6" s="3" t="inlineStr">
        <is>
          <t>Khỏe</t>
        </is>
      </c>
      <c r="B6" s="3" t="n">
        <v>0.99</v>
      </c>
      <c r="C6" s="3" t="n">
        <v>0.05</v>
      </c>
      <c r="D6" s="4">
        <f>IF(OR(B6="",C6=""),"",B6*C6)</f>
        <v/>
      </c>
      <c r="E6" s="5">
        <f>IF(D6="","",D6/$D$7)</f>
        <v/>
      </c>
    </row>
    <row r="7">
      <c r="A7" s="1" t="inlineStr">
        <is>
          <t>Tổng</t>
        </is>
      </c>
      <c r="B7" s="6">
        <f>SUM(B5:B6)</f>
        <v/>
      </c>
      <c r="D7" s="7">
        <f>SUM(D5:D6)</f>
        <v/>
      </c>
      <c r="E7" s="5">
        <f>SUM(E5:E6)</f>
        <v/>
      </c>
    </row>
    <row r="9">
      <c r="A9" t="inlineStr">
        <is>
          <t>P(E) = evidence = tổng cột D</t>
        </is>
      </c>
      <c r="B9" s="4">
        <f>D7</f>
        <v/>
      </c>
    </row>
    <row r="10">
      <c r="A10" t="inlineStr">
        <is>
          <t>Kiểm tra Σ prior = 1?</t>
        </is>
      </c>
      <c r="B10" s="6">
        <f>IF(ABS(B7-1)&lt;0.000001,"OK","SAI: tổng prior khác 1")</f>
        <v/>
      </c>
    </row>
    <row r="11">
      <c r="A11" t="inlineStr">
        <is>
          <t>Giả thuyết khả nghi nhất</t>
        </is>
      </c>
      <c r="B11" s="8">
        <f>INDEX(A5:A6,MATCH(MAX(E5:E6),E5:E6,0))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VD2: 40% email là spam; 'FREE' có trong 60% spam, 5% ham. Có 'FREE' → P(spam)?</t>
        </is>
      </c>
    </row>
    <row r="2">
      <c r="A2" t="inlineStr">
        <is>
          <t>Ô vàng = nhập; ô xanh = công thức.  H = giả thuyết (nguyên nhân ẩn), E = bằng chứng.</t>
        </is>
      </c>
    </row>
    <row r="4">
      <c r="A4" s="2" t="inlineStr">
        <is>
          <t>H (giả thuyết)</t>
        </is>
      </c>
      <c r="B4" s="2" t="inlineStr">
        <is>
          <t>Prior P(H)</t>
        </is>
      </c>
      <c r="C4" s="2" t="inlineStr">
        <is>
          <t>Likelihood P(E|H)</t>
        </is>
      </c>
      <c r="D4" s="2" t="inlineStr">
        <is>
          <t>Prior × Likelihood</t>
        </is>
      </c>
      <c r="E4" s="2" t="inlineStr">
        <is>
          <t>Posterior P(H|E)</t>
        </is>
      </c>
    </row>
    <row r="5">
      <c r="A5" s="3" t="inlineStr">
        <is>
          <t>Spam</t>
        </is>
      </c>
      <c r="B5" s="3" t="n">
        <v>0.4</v>
      </c>
      <c r="C5" s="3" t="n">
        <v>0.6</v>
      </c>
      <c r="D5" s="4">
        <f>IF(OR(B5="",C5=""),"",B5*C5)</f>
        <v/>
      </c>
      <c r="E5" s="5">
        <f>IF(D5="","",D5/$D$7)</f>
        <v/>
      </c>
    </row>
    <row r="6">
      <c r="A6" s="3" t="inlineStr">
        <is>
          <t>Ham</t>
        </is>
      </c>
      <c r="B6" s="3" t="n">
        <v>0.6</v>
      </c>
      <c r="C6" s="3" t="n">
        <v>0.05</v>
      </c>
      <c r="D6" s="4">
        <f>IF(OR(B6="",C6=""),"",B6*C6)</f>
        <v/>
      </c>
      <c r="E6" s="5">
        <f>IF(D6="","",D6/$D$7)</f>
        <v/>
      </c>
    </row>
    <row r="7">
      <c r="A7" s="1" t="inlineStr">
        <is>
          <t>Tổng</t>
        </is>
      </c>
      <c r="B7" s="6">
        <f>SUM(B5:B6)</f>
        <v/>
      </c>
      <c r="D7" s="7">
        <f>SUM(D5:D6)</f>
        <v/>
      </c>
      <c r="E7" s="5">
        <f>SUM(E5:E6)</f>
        <v/>
      </c>
    </row>
    <row r="9">
      <c r="A9" t="inlineStr">
        <is>
          <t>P(E) = evidence = tổng cột D</t>
        </is>
      </c>
      <c r="B9" s="4">
        <f>D7</f>
        <v/>
      </c>
    </row>
    <row r="10">
      <c r="A10" t="inlineStr">
        <is>
          <t>Kiểm tra Σ prior = 1?</t>
        </is>
      </c>
      <c r="B10" s="6">
        <f>IF(ABS(B7-1)&lt;0.000001,"OK","SAI: tổng prior khác 1")</f>
        <v/>
      </c>
    </row>
    <row r="11">
      <c r="A11" t="inlineStr">
        <is>
          <t>Giả thuyết khả nghi nhất</t>
        </is>
      </c>
      <c r="B11" s="8">
        <f>INDEX(A5:A6,MATCH(MAX(E5:E6),E5:E6,0))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VD3: Dây chuyền A/B/C = 50/30/20% sản lượng; lỗi 1/2/3%. Sản phẩm lỗi → từ đâu?</t>
        </is>
      </c>
    </row>
    <row r="2">
      <c r="A2" t="inlineStr">
        <is>
          <t>Ô vàng = nhập; ô xanh = công thức.  H = giả thuyết (nguyên nhân ẩn), E = bằng chứng.</t>
        </is>
      </c>
    </row>
    <row r="4">
      <c r="A4" s="2" t="inlineStr">
        <is>
          <t>H (giả thuyết)</t>
        </is>
      </c>
      <c r="B4" s="2" t="inlineStr">
        <is>
          <t>Prior P(H)</t>
        </is>
      </c>
      <c r="C4" s="2" t="inlineStr">
        <is>
          <t>Likelihood P(E|H)</t>
        </is>
      </c>
      <c r="D4" s="2" t="inlineStr">
        <is>
          <t>Prior × Likelihood</t>
        </is>
      </c>
      <c r="E4" s="2" t="inlineStr">
        <is>
          <t>Posterior P(H|E)</t>
        </is>
      </c>
    </row>
    <row r="5">
      <c r="A5" s="3" t="inlineStr">
        <is>
          <t>A</t>
        </is>
      </c>
      <c r="B5" s="3" t="n">
        <v>0.5</v>
      </c>
      <c r="C5" s="3" t="n">
        <v>0.01</v>
      </c>
      <c r="D5" s="4">
        <f>IF(OR(B5="",C5=""),"",B5*C5)</f>
        <v/>
      </c>
      <c r="E5" s="5">
        <f>IF(D5="","",D5/$D$8)</f>
        <v/>
      </c>
    </row>
    <row r="6">
      <c r="A6" s="3" t="inlineStr">
        <is>
          <t>B</t>
        </is>
      </c>
      <c r="B6" s="3" t="n">
        <v>0.3</v>
      </c>
      <c r="C6" s="3" t="n">
        <v>0.02</v>
      </c>
      <c r="D6" s="4">
        <f>IF(OR(B6="",C6=""),"",B6*C6)</f>
        <v/>
      </c>
      <c r="E6" s="5">
        <f>IF(D6="","",D6/$D$8)</f>
        <v/>
      </c>
    </row>
    <row r="7">
      <c r="A7" s="3" t="inlineStr">
        <is>
          <t>C</t>
        </is>
      </c>
      <c r="B7" s="3" t="n">
        <v>0.2</v>
      </c>
      <c r="C7" s="3" t="n">
        <v>0.03</v>
      </c>
      <c r="D7" s="4">
        <f>IF(OR(B7="",C7=""),"",B7*C7)</f>
        <v/>
      </c>
      <c r="E7" s="5">
        <f>IF(D7="","",D7/$D$8)</f>
        <v/>
      </c>
    </row>
    <row r="8">
      <c r="A8" s="1" t="inlineStr">
        <is>
          <t>Tổng</t>
        </is>
      </c>
      <c r="B8" s="6">
        <f>SUM(B5:B7)</f>
        <v/>
      </c>
      <c r="D8" s="7">
        <f>SUM(D5:D7)</f>
        <v/>
      </c>
      <c r="E8" s="5">
        <f>SUM(E5:E7)</f>
        <v/>
      </c>
    </row>
    <row r="10">
      <c r="A10" t="inlineStr">
        <is>
          <t>P(E) = evidence = tổng cột D</t>
        </is>
      </c>
      <c r="B10" s="4">
        <f>D8</f>
        <v/>
      </c>
    </row>
    <row r="11">
      <c r="A11" t="inlineStr">
        <is>
          <t>Kiểm tra Σ prior = 1?</t>
        </is>
      </c>
      <c r="B11" s="6">
        <f>IF(ABS(B8-1)&lt;0.000001,"OK","SAI: tổng prior khác 1")</f>
        <v/>
      </c>
    </row>
    <row r="12">
      <c r="A12" t="inlineStr">
        <is>
          <t>Giả thuyết khả nghi nhất</t>
        </is>
      </c>
      <c r="B12" s="8">
        <f>INDEX(A5:A7,MATCH(MAX(E5:E7),E5:E7,0))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VD4: 0.2% giao dịch gian lận; rule bắt 95%, báo nhầm 3%. Bị báo → P(gian lận)?</t>
        </is>
      </c>
    </row>
    <row r="2">
      <c r="A2" t="inlineStr">
        <is>
          <t>Ô vàng = nhập; ô xanh = công thức.  H = giả thuyết (nguyên nhân ẩn), E = bằng chứng.</t>
        </is>
      </c>
    </row>
    <row r="4">
      <c r="A4" s="2" t="inlineStr">
        <is>
          <t>H (giả thuyết)</t>
        </is>
      </c>
      <c r="B4" s="2" t="inlineStr">
        <is>
          <t>Prior P(H)</t>
        </is>
      </c>
      <c r="C4" s="2" t="inlineStr">
        <is>
          <t>Likelihood P(E|H)</t>
        </is>
      </c>
      <c r="D4" s="2" t="inlineStr">
        <is>
          <t>Prior × Likelihood</t>
        </is>
      </c>
      <c r="E4" s="2" t="inlineStr">
        <is>
          <t>Posterior P(H|E)</t>
        </is>
      </c>
    </row>
    <row r="5">
      <c r="A5" s="3" t="inlineStr">
        <is>
          <t>Gian lận</t>
        </is>
      </c>
      <c r="B5" s="3" t="n">
        <v>0.002</v>
      </c>
      <c r="C5" s="3" t="n">
        <v>0.95</v>
      </c>
      <c r="D5" s="4">
        <f>IF(OR(B5="",C5=""),"",B5*C5)</f>
        <v/>
      </c>
      <c r="E5" s="5">
        <f>IF(D5="","",D5/$D$7)</f>
        <v/>
      </c>
    </row>
    <row r="6">
      <c r="A6" s="3" t="inlineStr">
        <is>
          <t>Bình thường</t>
        </is>
      </c>
      <c r="B6" s="3" t="n">
        <v>0.998</v>
      </c>
      <c r="C6" s="3" t="n">
        <v>0.03</v>
      </c>
      <c r="D6" s="4">
        <f>IF(OR(B6="",C6=""),"",B6*C6)</f>
        <v/>
      </c>
      <c r="E6" s="5">
        <f>IF(D6="","",D6/$D$7)</f>
        <v/>
      </c>
    </row>
    <row r="7">
      <c r="A7" s="1" t="inlineStr">
        <is>
          <t>Tổng</t>
        </is>
      </c>
      <c r="B7" s="6">
        <f>SUM(B5:B6)</f>
        <v/>
      </c>
      <c r="D7" s="7">
        <f>SUM(D5:D6)</f>
        <v/>
      </c>
      <c r="E7" s="5">
        <f>SUM(E5:E6)</f>
        <v/>
      </c>
    </row>
    <row r="9">
      <c r="A9" t="inlineStr">
        <is>
          <t>P(E) = evidence = tổng cột D</t>
        </is>
      </c>
      <c r="B9" s="4">
        <f>D7</f>
        <v/>
      </c>
    </row>
    <row r="10">
      <c r="A10" t="inlineStr">
        <is>
          <t>Kiểm tra Σ prior = 1?</t>
        </is>
      </c>
      <c r="B10" s="6">
        <f>IF(ABS(B7-1)&lt;0.000001,"OK","SAI: tổng prior khác 1")</f>
        <v/>
      </c>
    </row>
    <row r="11">
      <c r="A11" t="inlineStr">
        <is>
          <t>Giả thuyết khả nghi nhất</t>
        </is>
      </c>
      <c r="B11" s="8">
        <f>INDEX(A5:A6,MATCH(MAX(E5:E6),E5:E6,0))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VD5: 20% lead mua; 70% người mua mở email, 25% người không mua mở. Mở → P(mua)?</t>
        </is>
      </c>
    </row>
    <row r="2">
      <c r="A2" t="inlineStr">
        <is>
          <t>Ô vàng = nhập; ô xanh = công thức.  H = giả thuyết (nguyên nhân ẩn), E = bằng chứng.</t>
        </is>
      </c>
    </row>
    <row r="4">
      <c r="A4" s="2" t="inlineStr">
        <is>
          <t>H (giả thuyết)</t>
        </is>
      </c>
      <c r="B4" s="2" t="inlineStr">
        <is>
          <t>Prior P(H)</t>
        </is>
      </c>
      <c r="C4" s="2" t="inlineStr">
        <is>
          <t>Likelihood P(E|H)</t>
        </is>
      </c>
      <c r="D4" s="2" t="inlineStr">
        <is>
          <t>Prior × Likelihood</t>
        </is>
      </c>
      <c r="E4" s="2" t="inlineStr">
        <is>
          <t>Posterior P(H|E)</t>
        </is>
      </c>
    </row>
    <row r="5">
      <c r="A5" s="3" t="inlineStr">
        <is>
          <t>Mua</t>
        </is>
      </c>
      <c r="B5" s="3" t="n">
        <v>0.2</v>
      </c>
      <c r="C5" s="3" t="n">
        <v>0.7</v>
      </c>
      <c r="D5" s="4">
        <f>IF(OR(B5="",C5=""),"",B5*C5)</f>
        <v/>
      </c>
      <c r="E5" s="5">
        <f>IF(D5="","",D5/$D$7)</f>
        <v/>
      </c>
    </row>
    <row r="6">
      <c r="A6" s="3" t="inlineStr">
        <is>
          <t>Không mua</t>
        </is>
      </c>
      <c r="B6" s="3" t="n">
        <v>0.8</v>
      </c>
      <c r="C6" s="3" t="n">
        <v>0.25</v>
      </c>
      <c r="D6" s="4">
        <f>IF(OR(B6="",C6=""),"",B6*C6)</f>
        <v/>
      </c>
      <c r="E6" s="5">
        <f>IF(D6="","",D6/$D$7)</f>
        <v/>
      </c>
    </row>
    <row r="7">
      <c r="A7" s="1" t="inlineStr">
        <is>
          <t>Tổng</t>
        </is>
      </c>
      <c r="B7" s="6">
        <f>SUM(B5:B6)</f>
        <v/>
      </c>
      <c r="D7" s="7">
        <f>SUM(D5:D6)</f>
        <v/>
      </c>
      <c r="E7" s="5">
        <f>SUM(E5:E6)</f>
        <v/>
      </c>
    </row>
    <row r="9">
      <c r="A9" t="inlineStr">
        <is>
          <t>P(E) = evidence = tổng cột D</t>
        </is>
      </c>
      <c r="B9" s="4">
        <f>D7</f>
        <v/>
      </c>
    </row>
    <row r="10">
      <c r="A10" t="inlineStr">
        <is>
          <t>Kiểm tra Σ prior = 1?</t>
        </is>
      </c>
      <c r="B10" s="6">
        <f>IF(ABS(B7-1)&lt;0.000001,"OK","SAI: tổng prior khác 1")</f>
        <v/>
      </c>
    </row>
    <row r="11">
      <c r="A11" t="inlineStr">
        <is>
          <t>Giả thuyết khả nghi nhất</t>
        </is>
      </c>
      <c r="B11" s="8">
        <f>INDEX(A5:A6,MATCH(MAX(E5:E6),E5:E6,0))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BT: Kho HN/ĐN/HCM = 20/30/50% đơn; trễ 12/3/4%. Đơn trễ → kho nào? (tự điền)</t>
        </is>
      </c>
    </row>
    <row r="2">
      <c r="A2" t="inlineStr">
        <is>
          <t>Ô vàng = nhập; ô xanh = công thức.  H = giả thuyết (nguyên nhân ẩn), E = bằng chứng.</t>
        </is>
      </c>
    </row>
    <row r="4">
      <c r="A4" s="2" t="inlineStr">
        <is>
          <t>H (giả thuyết)</t>
        </is>
      </c>
      <c r="B4" s="2" t="inlineStr">
        <is>
          <t>Prior P(H)</t>
        </is>
      </c>
      <c r="C4" s="2" t="inlineStr">
        <is>
          <t>Likelihood P(E|H)</t>
        </is>
      </c>
      <c r="D4" s="2" t="inlineStr">
        <is>
          <t>Prior × Likelihood</t>
        </is>
      </c>
      <c r="E4" s="2" t="inlineStr">
        <is>
          <t>Posterior P(H|E)</t>
        </is>
      </c>
    </row>
    <row r="5">
      <c r="A5" s="3" t="inlineStr">
        <is>
          <t>Hà Nội</t>
        </is>
      </c>
      <c r="B5" s="3" t="n"/>
      <c r="C5" s="3" t="n"/>
      <c r="D5" s="4">
        <f>IF(OR(B5="",C5=""),"",B5*C5)</f>
        <v/>
      </c>
      <c r="E5" s="5">
        <f>IF(D5="","",D5/$D$8)</f>
        <v/>
      </c>
    </row>
    <row r="6">
      <c r="A6" s="3" t="inlineStr">
        <is>
          <t>Đà Nẵng</t>
        </is>
      </c>
      <c r="B6" s="3" t="n"/>
      <c r="C6" s="3" t="n"/>
      <c r="D6" s="4">
        <f>IF(OR(B6="",C6=""),"",B6*C6)</f>
        <v/>
      </c>
      <c r="E6" s="5">
        <f>IF(D6="","",D6/$D$8)</f>
        <v/>
      </c>
    </row>
    <row r="7">
      <c r="A7" s="3" t="inlineStr">
        <is>
          <t>HCM</t>
        </is>
      </c>
      <c r="B7" s="3" t="n"/>
      <c r="C7" s="3" t="n"/>
      <c r="D7" s="4">
        <f>IF(OR(B7="",C7=""),"",B7*C7)</f>
        <v/>
      </c>
      <c r="E7" s="5">
        <f>IF(D7="","",D7/$D$8)</f>
        <v/>
      </c>
    </row>
    <row r="8">
      <c r="A8" s="1" t="inlineStr">
        <is>
          <t>Tổng</t>
        </is>
      </c>
      <c r="B8" s="6">
        <f>SUM(B5:B7)</f>
        <v/>
      </c>
      <c r="D8" s="7">
        <f>SUM(D5:D7)</f>
        <v/>
      </c>
      <c r="E8" s="5">
        <f>SUM(E5:E7)</f>
        <v/>
      </c>
    </row>
    <row r="10">
      <c r="A10" t="inlineStr">
        <is>
          <t>P(E) = evidence = tổng cột D</t>
        </is>
      </c>
      <c r="B10" s="4">
        <f>D8</f>
        <v/>
      </c>
    </row>
    <row r="11">
      <c r="A11" t="inlineStr">
        <is>
          <t>Kiểm tra Σ prior = 1?</t>
        </is>
      </c>
      <c r="B11" s="6">
        <f>IF(ABS(B8-1)&lt;0.000001,"OK","SAI: tổng prior khác 1")</f>
        <v/>
      </c>
    </row>
    <row r="12">
      <c r="A12" t="inlineStr">
        <is>
          <t>Giả thuyết khả nghi nhất</t>
        </is>
      </c>
      <c r="B12" s="8">
        <f>INDEX(A5:A7,MATCH(MAX(E5:E7),E5:E7,0))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22" customWidth="1" min="5" max="5"/>
  </cols>
  <sheetData>
    <row r="1">
      <c r="A1" s="1" t="inlineStr">
        <is>
          <t>VD3 cập nhật tuần tự: posterior sau lỗi #1 trở thành prior cho lỗi #2</t>
        </is>
      </c>
    </row>
    <row r="4">
      <c r="A4" s="2" t="inlineStr">
        <is>
          <t>H</t>
        </is>
      </c>
      <c r="B4" s="2" t="inlineStr">
        <is>
          <t>Prior</t>
        </is>
      </c>
      <c r="C4" s="2" t="inlineStr">
        <is>
          <t>Likelihood lỗi</t>
        </is>
      </c>
      <c r="D4" s="2" t="inlineStr">
        <is>
          <t>Posterior sau lỗi #1</t>
        </is>
      </c>
      <c r="E4" s="2" t="inlineStr">
        <is>
          <t>Posterior sau lỗi #2</t>
        </is>
      </c>
    </row>
    <row r="5">
      <c r="A5" t="inlineStr">
        <is>
          <t>A</t>
        </is>
      </c>
      <c r="B5" s="3" t="n">
        <v>0.5</v>
      </c>
      <c r="C5" s="3" t="n">
        <v>0.01</v>
      </c>
      <c r="D5" s="5">
        <f>B5*C5/SUMPRODUCT($B$5:$B$7,$C$5:$C$7)</f>
        <v/>
      </c>
      <c r="E5" s="5">
        <f>D5*C5/SUMPRODUCT($D$5:$D$7,$C$5:$C$7)</f>
        <v/>
      </c>
    </row>
    <row r="6">
      <c r="A6" t="inlineStr">
        <is>
          <t>B</t>
        </is>
      </c>
      <c r="B6" s="3" t="n">
        <v>0.3</v>
      </c>
      <c r="C6" s="3" t="n">
        <v>0.02</v>
      </c>
      <c r="D6" s="5">
        <f>B6*C6/SUMPRODUCT($B$5:$B$7,$C$5:$C$7)</f>
        <v/>
      </c>
      <c r="E6" s="5">
        <f>D6*C6/SUMPRODUCT($D$5:$D$7,$C$5:$C$7)</f>
        <v/>
      </c>
    </row>
    <row r="7">
      <c r="A7" t="inlineStr">
        <is>
          <t>C</t>
        </is>
      </c>
      <c r="B7" s="3" t="n">
        <v>0.2</v>
      </c>
      <c r="C7" s="3" t="n">
        <v>0.03</v>
      </c>
      <c r="D7" s="5">
        <f>B7*C7/SUMPRODUCT($B$5:$B$7,$C$5:$C$7)</f>
        <v/>
      </c>
      <c r="E7" s="5">
        <f>D7*C7/SUMPRODUCT($D$5:$D$7,$C$5:$C$7)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Cách đếm bằng N người (giải thích VD1)</t>
        </is>
      </c>
    </row>
    <row r="3">
      <c r="A3" t="inlineStr">
        <is>
          <t>Số người N</t>
        </is>
      </c>
      <c r="B3" s="3" t="n">
        <v>10000</v>
      </c>
    </row>
    <row r="4">
      <c r="A4" t="inlineStr">
        <is>
          <t>Prior (tỷ lệ bệnh)</t>
        </is>
      </c>
      <c r="B4" s="3" t="n">
        <v>0.01</v>
      </c>
    </row>
    <row r="5">
      <c r="A5" t="inlineStr">
        <is>
          <t>P(+|bệnh) độ nhạy</t>
        </is>
      </c>
      <c r="B5" s="3" t="n">
        <v>0.9</v>
      </c>
    </row>
    <row r="6">
      <c r="A6" t="inlineStr">
        <is>
          <t>P(+|khỏe) dương tính giả</t>
        </is>
      </c>
      <c r="B6" s="3" t="n">
        <v>0.05</v>
      </c>
    </row>
    <row r="8">
      <c r="A8" t="inlineStr">
        <is>
          <t>Số người bệnh</t>
        </is>
      </c>
      <c r="B8" s="9">
        <f>B3*B4</f>
        <v/>
      </c>
    </row>
    <row r="9">
      <c r="A9" t="inlineStr">
        <is>
          <t>→ dương tính thật</t>
        </is>
      </c>
      <c r="B9" s="9">
        <f>B8*B5</f>
        <v/>
      </c>
    </row>
    <row r="10">
      <c r="A10" t="inlineStr">
        <is>
          <t>Số người khỏe</t>
        </is>
      </c>
      <c r="B10" s="9">
        <f>B3-B8</f>
        <v/>
      </c>
    </row>
    <row r="11">
      <c r="A11" t="inlineStr">
        <is>
          <t>→ dương tính giả</t>
        </is>
      </c>
      <c r="B11" s="9">
        <f>B10*B6</f>
        <v/>
      </c>
    </row>
    <row r="12">
      <c r="A12" t="inlineStr">
        <is>
          <t>P(bệnh | +) = TP/(TP+FP)</t>
        </is>
      </c>
      <c r="B12" s="5">
        <f>B9/(B9+B11)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2026-10-01T08:20:00Z</dcterms:created>
  <dcterms:modified xsi:type="dcterms:W3CDTF">2026-10-01T08:20:00Z</dcterms:modified>
</cp:coreProperties>
</file>