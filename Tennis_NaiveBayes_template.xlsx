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Bang_dem" sheetId="2" state="visible" r:id="rId2"/>
    <sheet name="Predi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166" fontId="0" fillId="4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8" customWidth="1" min="5" max="5"/>
  </cols>
  <sheetData>
    <row r="1">
      <c r="A1" s="1" t="inlineStr">
        <is>
          <t>Outlook</t>
        </is>
      </c>
      <c r="B1" s="1" t="inlineStr">
        <is>
          <t>Temp</t>
        </is>
      </c>
      <c r="C1" s="1" t="inlineStr">
        <is>
          <t>Humidity</t>
        </is>
      </c>
      <c r="D1" s="1" t="inlineStr">
        <is>
          <t>Wind</t>
        </is>
      </c>
      <c r="E1" s="1" t="inlineStr">
        <is>
          <t>Play</t>
        </is>
      </c>
    </row>
    <row r="2">
      <c r="A2" s="2" t="inlineStr">
        <is>
          <t>Overcast</t>
        </is>
      </c>
      <c r="B2" s="2" t="inlineStr">
        <is>
          <t>Hot</t>
        </is>
      </c>
      <c r="C2" s="2" t="inlineStr">
        <is>
          <t>High</t>
        </is>
      </c>
      <c r="D2" s="2" t="inlineStr">
        <is>
          <t>Weak</t>
        </is>
      </c>
      <c r="E2" s="2" t="inlineStr">
        <is>
          <t>Yes</t>
        </is>
      </c>
    </row>
    <row r="3">
      <c r="A3" s="2" t="inlineStr">
        <is>
          <t>Sunny</t>
        </is>
      </c>
      <c r="B3" s="2" t="inlineStr">
        <is>
          <t>Hot</t>
        </is>
      </c>
      <c r="C3" s="2" t="inlineStr">
        <is>
          <t>High</t>
        </is>
      </c>
      <c r="D3" s="2" t="inlineStr">
        <is>
          <t>Strong</t>
        </is>
      </c>
      <c r="E3" s="2" t="inlineStr">
        <is>
          <t>No</t>
        </is>
      </c>
    </row>
    <row r="4">
      <c r="A4" s="2" t="inlineStr">
        <is>
          <t>Rain</t>
        </is>
      </c>
      <c r="B4" s="2" t="inlineStr">
        <is>
          <t>Cool</t>
        </is>
      </c>
      <c r="C4" s="2" t="inlineStr">
        <is>
          <t>Normal</t>
        </is>
      </c>
      <c r="D4" s="2" t="inlineStr">
        <is>
          <t>Weak</t>
        </is>
      </c>
      <c r="E4" s="2" t="inlineStr">
        <is>
          <t>Yes</t>
        </is>
      </c>
    </row>
    <row r="5">
      <c r="A5" s="2" t="inlineStr">
        <is>
          <t>Sunny</t>
        </is>
      </c>
      <c r="B5" s="2" t="inlineStr">
        <is>
          <t>Mild</t>
        </is>
      </c>
      <c r="C5" s="2" t="inlineStr">
        <is>
          <t>High</t>
        </is>
      </c>
      <c r="D5" s="2" t="inlineStr">
        <is>
          <t>Strong</t>
        </is>
      </c>
      <c r="E5" s="2" t="inlineStr">
        <is>
          <t>No</t>
        </is>
      </c>
    </row>
    <row r="6">
      <c r="A6" s="2" t="inlineStr">
        <is>
          <t>Overcast</t>
        </is>
      </c>
      <c r="B6" s="2" t="inlineStr">
        <is>
          <t>Cool</t>
        </is>
      </c>
      <c r="C6" s="2" t="inlineStr">
        <is>
          <t>Normal</t>
        </is>
      </c>
      <c r="D6" s="2" t="inlineStr">
        <is>
          <t>Strong</t>
        </is>
      </c>
      <c r="E6" s="2" t="inlineStr">
        <is>
          <t>Yes</t>
        </is>
      </c>
    </row>
    <row r="7">
      <c r="A7" s="2" t="inlineStr">
        <is>
          <t>Rain</t>
        </is>
      </c>
      <c r="B7" s="2" t="inlineStr">
        <is>
          <t>Cool</t>
        </is>
      </c>
      <c r="C7" s="2" t="inlineStr">
        <is>
          <t>Normal</t>
        </is>
      </c>
      <c r="D7" s="2" t="inlineStr">
        <is>
          <t>Strong</t>
        </is>
      </c>
      <c r="E7" s="2" t="inlineStr">
        <is>
          <t>No</t>
        </is>
      </c>
    </row>
    <row r="8">
      <c r="A8" s="2" t="inlineStr">
        <is>
          <t>Sunny</t>
        </is>
      </c>
      <c r="B8" s="2" t="inlineStr">
        <is>
          <t>Cool</t>
        </is>
      </c>
      <c r="C8" s="2" t="inlineStr">
        <is>
          <t>Normal</t>
        </is>
      </c>
      <c r="D8" s="2" t="inlineStr">
        <is>
          <t>Weak</t>
        </is>
      </c>
      <c r="E8" s="2" t="inlineStr">
        <is>
          <t>Yes</t>
        </is>
      </c>
    </row>
    <row r="9">
      <c r="A9" s="2" t="inlineStr">
        <is>
          <t>Sunny</t>
        </is>
      </c>
      <c r="B9" s="2" t="inlineStr">
        <is>
          <t>Hot</t>
        </is>
      </c>
      <c r="C9" s="2" t="inlineStr">
        <is>
          <t>High</t>
        </is>
      </c>
      <c r="D9" s="2" t="inlineStr">
        <is>
          <t>Weak</t>
        </is>
      </c>
      <c r="E9" s="2" t="inlineStr">
        <is>
          <t>No</t>
        </is>
      </c>
    </row>
    <row r="10">
      <c r="A10" s="2" t="inlineStr">
        <is>
          <t>Rain</t>
        </is>
      </c>
      <c r="B10" s="2" t="inlineStr">
        <is>
          <t>Mild</t>
        </is>
      </c>
      <c r="C10" s="2" t="inlineStr">
        <is>
          <t>High</t>
        </is>
      </c>
      <c r="D10" s="2" t="inlineStr">
        <is>
          <t>Weak</t>
        </is>
      </c>
      <c r="E10" s="2" t="inlineStr">
        <is>
          <t>Yes</t>
        </is>
      </c>
    </row>
    <row r="11">
      <c r="A11" s="2" t="inlineStr">
        <is>
          <t>Sunny</t>
        </is>
      </c>
      <c r="B11" s="2" t="inlineStr">
        <is>
          <t>Mild</t>
        </is>
      </c>
      <c r="C11" s="2" t="inlineStr">
        <is>
          <t>Normal</t>
        </is>
      </c>
      <c r="D11" s="2" t="inlineStr">
        <is>
          <t>Strong</t>
        </is>
      </c>
      <c r="E11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14" customWidth="1" min="5" max="5"/>
    <col width="11" customWidth="1" min="6" max="6"/>
    <col width="11" customWidth="1" min="7" max="7"/>
  </cols>
  <sheetData>
    <row r="1">
      <c r="A1" s="3" t="inlineStr">
        <is>
          <t>alpha (Laplace: 0 = không, 1 = có)</t>
        </is>
      </c>
      <c r="B1" s="2" t="n">
        <v>0</v>
      </c>
    </row>
    <row r="2">
      <c r="A2" t="inlineStr">
        <is>
          <t>n(Yes)</t>
        </is>
      </c>
      <c r="B2" s="4">
        <f>COUNTIF(Data!$E$2:$E$11,"Yes")</f>
        <v/>
      </c>
    </row>
    <row r="3">
      <c r="A3" t="inlineStr">
        <is>
          <t>n(No)</t>
        </is>
      </c>
      <c r="B3" s="4">
        <f>COUNTIF(Data!$E$2:$E$11,"No")</f>
        <v/>
      </c>
    </row>
    <row r="4">
      <c r="A4" t="inlineStr">
        <is>
          <t>P(Yes) prior</t>
        </is>
      </c>
      <c r="B4" s="5">
        <f>B2/(B2+B3)</f>
        <v/>
      </c>
    </row>
    <row r="5">
      <c r="A5" t="inlineStr">
        <is>
          <t>P(No) prior</t>
        </is>
      </c>
      <c r="B5" s="5">
        <f>B3/(B2+B3)</f>
        <v/>
      </c>
    </row>
    <row r="7">
      <c r="A7" s="1" t="inlineStr">
        <is>
          <t>Feature</t>
        </is>
      </c>
      <c r="B7" s="1" t="inlineStr">
        <is>
          <t>Value</t>
        </is>
      </c>
      <c r="C7" s="1" t="inlineStr">
        <is>
          <t>n(Yes)</t>
        </is>
      </c>
      <c r="D7" s="1" t="inlineStr">
        <is>
          <t>n(No)</t>
        </is>
      </c>
      <c r="E7" s="1" t="inlineStr">
        <is>
          <t>K (số giá trị)</t>
        </is>
      </c>
      <c r="F7" s="1" t="inlineStr">
        <is>
          <t>P(v|Yes)</t>
        </is>
      </c>
      <c r="G7" s="1" t="inlineStr">
        <is>
          <t>P(v|No)</t>
        </is>
      </c>
    </row>
    <row r="8">
      <c r="A8" t="inlineStr">
        <is>
          <t>Outlook</t>
        </is>
      </c>
      <c r="B8" t="inlineStr">
        <is>
          <t>Sunny</t>
        </is>
      </c>
      <c r="C8" s="4">
        <f>COUNTIFS(Data!$A$2:$A$11,B8,Data!$E$2:$E$11,"Yes")</f>
        <v/>
      </c>
      <c r="D8" s="4">
        <f>COUNTIFS(Data!$A$2:$A$11,B8,Data!$E$2:$E$11,"No")</f>
        <v/>
      </c>
      <c r="E8" s="4">
        <f>COUNTIF($A$8:$A$17,A8)</f>
        <v/>
      </c>
      <c r="F8" s="6">
        <f>(C8+$B$1)/($B$2+$B$1*E8)</f>
        <v/>
      </c>
      <c r="G8" s="6">
        <f>(D8+$B$1)/($B$3+$B$1*E8)</f>
        <v/>
      </c>
    </row>
    <row r="9">
      <c r="A9" t="inlineStr">
        <is>
          <t>Outlook</t>
        </is>
      </c>
      <c r="B9" t="inlineStr">
        <is>
          <t>Overcast</t>
        </is>
      </c>
      <c r="C9" s="4">
        <f>COUNTIFS(Data!$A$2:$A$11,B9,Data!$E$2:$E$11,"Yes")</f>
        <v/>
      </c>
      <c r="D9" s="4">
        <f>COUNTIFS(Data!$A$2:$A$11,B9,Data!$E$2:$E$11,"No")</f>
        <v/>
      </c>
      <c r="E9" s="4">
        <f>COUNTIF($A$8:$A$17,A9)</f>
        <v/>
      </c>
      <c r="F9" s="6">
        <f>(C9+$B$1)/($B$2+$B$1*E9)</f>
        <v/>
      </c>
      <c r="G9" s="6">
        <f>(D9+$B$1)/($B$3+$B$1*E9)</f>
        <v/>
      </c>
    </row>
    <row r="10">
      <c r="A10" t="inlineStr">
        <is>
          <t>Outlook</t>
        </is>
      </c>
      <c r="B10" t="inlineStr">
        <is>
          <t>Rain</t>
        </is>
      </c>
      <c r="C10" s="4">
        <f>COUNTIFS(Data!$A$2:$A$11,B10,Data!$E$2:$E$11,"Yes")</f>
        <v/>
      </c>
      <c r="D10" s="4">
        <f>COUNTIFS(Data!$A$2:$A$11,B10,Data!$E$2:$E$11,"No")</f>
        <v/>
      </c>
      <c r="E10" s="4">
        <f>COUNTIF($A$8:$A$17,A10)</f>
        <v/>
      </c>
      <c r="F10" s="6">
        <f>(C10+$B$1)/($B$2+$B$1*E10)</f>
        <v/>
      </c>
      <c r="G10" s="6">
        <f>(D10+$B$1)/($B$3+$B$1*E10)</f>
        <v/>
      </c>
    </row>
    <row r="11">
      <c r="A11" t="inlineStr">
        <is>
          <t>Temp</t>
        </is>
      </c>
      <c r="B11" t="inlineStr">
        <is>
          <t>Hot</t>
        </is>
      </c>
      <c r="C11" s="4">
        <f>COUNTIFS(Data!$B$2:$B$11,B11,Data!$E$2:$E$11,"Yes")</f>
        <v/>
      </c>
      <c r="D11" s="4">
        <f>COUNTIFS(Data!$B$2:$B$11,B11,Data!$E$2:$E$11,"No")</f>
        <v/>
      </c>
      <c r="E11" s="4">
        <f>COUNTIF($A$8:$A$17,A11)</f>
        <v/>
      </c>
      <c r="F11" s="6">
        <f>(C11+$B$1)/($B$2+$B$1*E11)</f>
        <v/>
      </c>
      <c r="G11" s="6">
        <f>(D11+$B$1)/($B$3+$B$1*E11)</f>
        <v/>
      </c>
    </row>
    <row r="12">
      <c r="A12" t="inlineStr">
        <is>
          <t>Temp</t>
        </is>
      </c>
      <c r="B12" t="inlineStr">
        <is>
          <t>Mild</t>
        </is>
      </c>
      <c r="C12" s="4">
        <f>COUNTIFS(Data!$B$2:$B$11,B12,Data!$E$2:$E$11,"Yes")</f>
        <v/>
      </c>
      <c r="D12" s="4">
        <f>COUNTIFS(Data!$B$2:$B$11,B12,Data!$E$2:$E$11,"No")</f>
        <v/>
      </c>
      <c r="E12" s="4">
        <f>COUNTIF($A$8:$A$17,A12)</f>
        <v/>
      </c>
      <c r="F12" s="6">
        <f>(C12+$B$1)/($B$2+$B$1*E12)</f>
        <v/>
      </c>
      <c r="G12" s="6">
        <f>(D12+$B$1)/($B$3+$B$1*E12)</f>
        <v/>
      </c>
    </row>
    <row r="13">
      <c r="A13" t="inlineStr">
        <is>
          <t>Temp</t>
        </is>
      </c>
      <c r="B13" t="inlineStr">
        <is>
          <t>Cool</t>
        </is>
      </c>
      <c r="C13" s="4">
        <f>COUNTIFS(Data!$B$2:$B$11,B13,Data!$E$2:$E$11,"Yes")</f>
        <v/>
      </c>
      <c r="D13" s="4">
        <f>COUNTIFS(Data!$B$2:$B$11,B13,Data!$E$2:$E$11,"No")</f>
        <v/>
      </c>
      <c r="E13" s="4">
        <f>COUNTIF($A$8:$A$17,A13)</f>
        <v/>
      </c>
      <c r="F13" s="6">
        <f>(C13+$B$1)/($B$2+$B$1*E13)</f>
        <v/>
      </c>
      <c r="G13" s="6">
        <f>(D13+$B$1)/($B$3+$B$1*E13)</f>
        <v/>
      </c>
    </row>
    <row r="14">
      <c r="A14" t="inlineStr">
        <is>
          <t>Humidity</t>
        </is>
      </c>
      <c r="B14" t="inlineStr">
        <is>
          <t>High</t>
        </is>
      </c>
      <c r="C14" s="4">
        <f>COUNTIFS(Data!$C$2:$C$11,B14,Data!$E$2:$E$11,"Yes")</f>
        <v/>
      </c>
      <c r="D14" s="4">
        <f>COUNTIFS(Data!$C$2:$C$11,B14,Data!$E$2:$E$11,"No")</f>
        <v/>
      </c>
      <c r="E14" s="4">
        <f>COUNTIF($A$8:$A$17,A14)</f>
        <v/>
      </c>
      <c r="F14" s="6">
        <f>(C14+$B$1)/($B$2+$B$1*E14)</f>
        <v/>
      </c>
      <c r="G14" s="6">
        <f>(D14+$B$1)/($B$3+$B$1*E14)</f>
        <v/>
      </c>
    </row>
    <row r="15">
      <c r="A15" t="inlineStr">
        <is>
          <t>Humidity</t>
        </is>
      </c>
      <c r="B15" t="inlineStr">
        <is>
          <t>Normal</t>
        </is>
      </c>
      <c r="C15" s="4">
        <f>COUNTIFS(Data!$C$2:$C$11,B15,Data!$E$2:$E$11,"Yes")</f>
        <v/>
      </c>
      <c r="D15" s="4">
        <f>COUNTIFS(Data!$C$2:$C$11,B15,Data!$E$2:$E$11,"No")</f>
        <v/>
      </c>
      <c r="E15" s="4">
        <f>COUNTIF($A$8:$A$17,A15)</f>
        <v/>
      </c>
      <c r="F15" s="6">
        <f>(C15+$B$1)/($B$2+$B$1*E15)</f>
        <v/>
      </c>
      <c r="G15" s="6">
        <f>(D15+$B$1)/($B$3+$B$1*E15)</f>
        <v/>
      </c>
    </row>
    <row r="16">
      <c r="A16" t="inlineStr">
        <is>
          <t>Wind</t>
        </is>
      </c>
      <c r="B16" t="inlineStr">
        <is>
          <t>Weak</t>
        </is>
      </c>
      <c r="C16" s="4">
        <f>COUNTIFS(Data!$D$2:$D$11,B16,Data!$E$2:$E$11,"Yes")</f>
        <v/>
      </c>
      <c r="D16" s="4">
        <f>COUNTIFS(Data!$D$2:$D$11,B16,Data!$E$2:$E$11,"No")</f>
        <v/>
      </c>
      <c r="E16" s="4">
        <f>COUNTIF($A$8:$A$17,A16)</f>
        <v/>
      </c>
      <c r="F16" s="6">
        <f>(C16+$B$1)/($B$2+$B$1*E16)</f>
        <v/>
      </c>
      <c r="G16" s="6">
        <f>(D16+$B$1)/($B$3+$B$1*E16)</f>
        <v/>
      </c>
    </row>
    <row r="17">
      <c r="A17" t="inlineStr">
        <is>
          <t>Wind</t>
        </is>
      </c>
      <c r="B17" t="inlineStr">
        <is>
          <t>Strong</t>
        </is>
      </c>
      <c r="C17" s="4">
        <f>COUNTIFS(Data!$D$2:$D$11,B17,Data!$E$2:$E$11,"Yes")</f>
        <v/>
      </c>
      <c r="D17" s="4">
        <f>COUNTIFS(Data!$D$2:$D$11,B17,Data!$E$2:$E$11,"No")</f>
        <v/>
      </c>
      <c r="E17" s="4">
        <f>COUNTIF($A$8:$A$17,A17)</f>
        <v/>
      </c>
      <c r="F17" s="6">
        <f>(C17+$B$1)/($B$2+$B$1*E17)</f>
        <v/>
      </c>
      <c r="G17" s="6">
        <f>(D17+$B$1)/($B$3+$B$1*E17)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12" customWidth="1" min="4" max="4"/>
  </cols>
  <sheetData>
    <row r="1">
      <c r="A1" s="1" t="inlineStr">
        <is>
          <t>Feature</t>
        </is>
      </c>
      <c r="B1" s="1" t="inlineStr">
        <is>
          <t>Giá trị (chọn)</t>
        </is>
      </c>
      <c r="C1" s="1" t="inlineStr">
        <is>
          <t>P(v|Yes)</t>
        </is>
      </c>
      <c r="D1" s="1" t="inlineStr">
        <is>
          <t>P(v|No)</t>
        </is>
      </c>
    </row>
    <row r="2">
      <c r="A2" t="inlineStr">
        <is>
          <t>Outlook</t>
        </is>
      </c>
      <c r="B2" s="2" t="inlineStr">
        <is>
          <t>Sunny</t>
        </is>
      </c>
      <c r="C2" s="6">
        <f>SUMIFS(Bang_dem!$F$8:$F$17,Bang_dem!$A$8:$A$17,$A2,Bang_dem!$B$8:$B$17,$B2)</f>
        <v/>
      </c>
      <c r="D2" s="6">
        <f>SUMIFS(Bang_dem!$G$8:$G$17,Bang_dem!$A$8:$A$17,$A2,Bang_dem!$B$8:$B$17,$B2)</f>
        <v/>
      </c>
    </row>
    <row r="3">
      <c r="A3" t="inlineStr">
        <is>
          <t>Temp</t>
        </is>
      </c>
      <c r="B3" s="2" t="inlineStr">
        <is>
          <t>Cool</t>
        </is>
      </c>
      <c r="C3" s="6">
        <f>SUMIFS(Bang_dem!$F$8:$F$17,Bang_dem!$A$8:$A$17,$A3,Bang_dem!$B$8:$B$17,$B3)</f>
        <v/>
      </c>
      <c r="D3" s="6">
        <f>SUMIFS(Bang_dem!$G$8:$G$17,Bang_dem!$A$8:$A$17,$A3,Bang_dem!$B$8:$B$17,$B3)</f>
        <v/>
      </c>
    </row>
    <row r="4">
      <c r="A4" t="inlineStr">
        <is>
          <t>Humidity</t>
        </is>
      </c>
      <c r="B4" s="2" t="inlineStr">
        <is>
          <t>High</t>
        </is>
      </c>
      <c r="C4" s="6">
        <f>SUMIFS(Bang_dem!$F$8:$F$17,Bang_dem!$A$8:$A$17,$A4,Bang_dem!$B$8:$B$17,$B4)</f>
        <v/>
      </c>
      <c r="D4" s="6">
        <f>SUMIFS(Bang_dem!$G$8:$G$17,Bang_dem!$A$8:$A$17,$A4,Bang_dem!$B$8:$B$17,$B4)</f>
        <v/>
      </c>
    </row>
    <row r="5">
      <c r="A5" t="inlineStr">
        <is>
          <t>Wind</t>
        </is>
      </c>
      <c r="B5" s="2" t="inlineStr">
        <is>
          <t>Strong</t>
        </is>
      </c>
      <c r="C5" s="6">
        <f>SUMIFS(Bang_dem!$F$8:$F$17,Bang_dem!$A$8:$A$17,$A5,Bang_dem!$B$8:$B$17,$B5)</f>
        <v/>
      </c>
      <c r="D5" s="6">
        <f>SUMIFS(Bang_dem!$G$8:$G$17,Bang_dem!$A$8:$A$17,$A5,Bang_dem!$B$8:$B$17,$B5)</f>
        <v/>
      </c>
    </row>
    <row r="7">
      <c r="A7" t="inlineStr">
        <is>
          <t>Prior</t>
        </is>
      </c>
      <c r="C7" s="5">
        <f>Bang_dem!B4</f>
        <v/>
      </c>
      <c r="D7" s="5">
        <f>Bang_dem!B5</f>
        <v/>
      </c>
    </row>
    <row r="8">
      <c r="A8" t="inlineStr">
        <is>
          <t>Điểm = prior × tích</t>
        </is>
      </c>
      <c r="C8" s="7">
        <f>C7*PRODUCT(C2:C5)</f>
        <v/>
      </c>
      <c r="D8" s="7">
        <f>D7*PRODUCT(D2:D5)</f>
        <v/>
      </c>
    </row>
    <row r="9">
      <c r="A9" t="inlineStr">
        <is>
          <t>Posterior (chuẩn hóa)</t>
        </is>
      </c>
      <c r="C9" s="6">
        <f>IF(C8+D8=0,"n/a",C8/(C8+D8))</f>
        <v/>
      </c>
      <c r="D9" s="6">
        <f>IF(C8+D8=0,"n/a",D8/(C8+D8))</f>
        <v/>
      </c>
    </row>
    <row r="10">
      <c r="A10" t="inlineStr">
        <is>
          <t>Quyết định</t>
        </is>
      </c>
      <c r="B10" s="8">
        <f>IF(C8+D8=0,"n/a",IF(D8&gt;C8,"Should not go!","Go play!"))</f>
        <v/>
      </c>
    </row>
    <row r="12">
      <c r="A12" t="inlineStr">
        <is>
          <t>Thử: (1) alpha=0 vs 1 ở Bang_dem!B1  (2) Outlook=Overcast để thấy zero-frequency.</t>
        </is>
      </c>
    </row>
  </sheetData>
  <dataValidations count="4">
    <dataValidation sqref="B2" showDropDown="0" showInputMessage="0" showErrorMessage="0" allowBlank="0" type="list">
      <formula1>"Sunny,Overcast,Rain"</formula1>
    </dataValidation>
    <dataValidation sqref="B3" showDropDown="0" showInputMessage="0" showErrorMessage="0" allowBlank="0" type="list">
      <formula1>"Hot,Mild,Cool"</formula1>
    </dataValidation>
    <dataValidation sqref="B4" showDropDown="0" showInputMessage="0" showErrorMessage="0" allowBlank="0" type="list">
      <formula1>"High,Normal"</formula1>
    </dataValidation>
    <dataValidation sqref="B5" showDropDown="0" showInputMessage="0" showErrorMessage="0" allowBlank="0" type="list">
      <formula1>"Weak,Strong"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2026-10-01T08:20:00Z</dcterms:created>
  <dcterms:modified xsi:type="dcterms:W3CDTF">2026-10-01T08:20:00Z</dcterms:modified>
</cp:coreProperties>
</file>